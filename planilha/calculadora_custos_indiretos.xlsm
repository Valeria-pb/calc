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vnd.ms-office.vbaProject" Extension="bin"/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5.xml"/>
  <Override ContentType="application/vnd.openxmlformats-officedocument.spreadsheetml.table+xml" PartName="/xl/tables/table4.xml"/>
  <Override ContentType="application/vnd.openxmlformats-officedocument.spreadsheetml.table+xml" PartName="/xl/tables/table3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8.xml"/>
  <Override ContentType="application/vnd.openxmlformats-officedocument.spreadsheetml.worksheet+xml" PartName="/xl/worksheets/sheet7.xml"/>
  <Override ContentType="application/binary" PartName="/xl/metadata"/>
  <Override ContentType="application/binary" PartName="/xl/commentsmeta0"/>
  <Override ContentType="application/binary" PartName="/xl/commentsmeta1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EstaPasta_de_trabalho"/>
  <sheets>
    <sheet state="visible" name="Dados CTI" sheetId="1" r:id="rId5"/>
    <sheet state="visible" name="Custo" sheetId="2" r:id="rId6"/>
    <sheet state="visible" name="memória de cálculo" sheetId="3" r:id="rId7"/>
    <sheet state="visible" name="Áreas Alocadas" sheetId="4" r:id="rId8"/>
    <sheet state="visible" name="equipamentos" sheetId="5" r:id="rId9"/>
    <sheet state="visible" name="serviços e suprimentos" sheetId="6" r:id="rId10"/>
    <sheet state="visible" name="dolar" sheetId="7" r:id="rId11"/>
    <sheet state="visible" name="testeCalculadora" sheetId="8" r:id="rId12"/>
  </sheets>
  <definedNames/>
  <calcPr/>
  <extLst>
    <ext uri="GoogleSheetsCustomDataVersion2">
      <go:sheetsCustomData xmlns:go="http://customooxmlschemas.google.com/" r:id="rId13" roundtripDataChecksum="mKgrirxgJOocnXJdJrzqZ7H8g2nrwbEQwjtbsp861YA="/>
    </ext>
  </extLst>
</workbook>
</file>

<file path=xl/comments1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C13">
      <text>
        <t xml:space="preserve">======
ID#AAABlVi1Zf0
ARMANDO ALBERTAZZI GONCALVES JUNIOR    (2025-06-06 16:10:18)
Área mensal equivalente disponibilizada para o projeto (expressa em m²) - Calculada a partir da planilha "Áreas Alocadas"</t>
      </text>
    </comment>
    <comment authorId="0" ref="C35">
      <text>
        <t xml:space="preserve">======
ID#AAABlVi1Zf8
ARMANDO ALBERTAZZI GONCALVES JUNIOR    (2025-06-06 16:10:18)
Estimativa do número total de horas que o equipamento será usado no projeto.</t>
      </text>
    </comment>
  </commentList>
  <extLst>
    <ext uri="GoogleSheetsCustomDataVersion2">
      <go:sheetsCustomData xmlns:go="http://customooxmlschemas.google.com/" r:id="rId1" roundtripDataSignature="AMtx7mgEFZizF8pqU4riy5IO+wI4ikBZHw=="/>
    </ext>
  </extLst>
</comments>
</file>

<file path=xl/comments2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F8">
      <text>
        <t xml:space="preserve">======
ID#AAABlVi1Zf4
ARMANDO ALBERTAZZI GONCALVES JUNIOR    (2025-06-06 16:10:18)
Número de meses que a área será utilizada no projeto</t>
      </text>
    </comment>
    <comment authorId="0" ref="G8">
      <text>
        <t xml:space="preserve">======
ID#AAABlVi1Zfw
ARMANDO ALBERTAZZI GONCALVES JUNIOR    (2025-06-06 16:10:18)
Se a área especificada for compartilhada com outros usos, especifique o percentual que será alocada ao projeto. Caso a área seja de uso exclusivo do projeto especifique 100%.</t>
      </text>
    </comment>
  </commentList>
  <extLst>
    <ext uri="GoogleSheetsCustomDataVersion2">
      <go:sheetsCustomData xmlns:go="http://customooxmlschemas.google.com/" r:id="rId1" roundtripDataSignature="AMtx7mhEVDtZ/psLc/yHMU1j+JEjruS2WA=="/>
    </ext>
  </extLst>
</comments>
</file>

<file path=xl/sharedStrings.xml><?xml version="1.0" encoding="utf-8"?>
<sst xmlns="http://schemas.openxmlformats.org/spreadsheetml/2006/main" count="755" uniqueCount="488">
  <si>
    <t>Dados do CTI e parâmetros  - Cálculo de Rateio do Custo</t>
  </si>
  <si>
    <t xml:space="preserve"> Valor Gasto</t>
  </si>
  <si>
    <t>Total anual de  serviços e suprimentos</t>
  </si>
  <si>
    <t>Custos anuais do CTI com serviços e suprimentos</t>
  </si>
  <si>
    <t>Área total construída (m²)</t>
  </si>
  <si>
    <t>Percentual das áreas de serviço em relação à área útil</t>
  </si>
  <si>
    <t>Valor do metro quadrado construído</t>
  </si>
  <si>
    <t>Vida útil média estimada para edificações (anos)</t>
  </si>
  <si>
    <t>Percentual anual aplicado a manutenção predial</t>
  </si>
  <si>
    <t>Vida útil média estimada para equipamentos de pesquisa (horas)</t>
  </si>
  <si>
    <t>Horas de utilização estimada</t>
  </si>
  <si>
    <t>Percentual do valor do equipamento gasto anualmente com manutenção</t>
  </si>
  <si>
    <t>servidores nível Superior</t>
  </si>
  <si>
    <t>servidores nível Intermediário</t>
  </si>
  <si>
    <t>Cálculo de Custos Indiretos de Projeto de Pesquisa</t>
  </si>
  <si>
    <t>Projeto:</t>
  </si>
  <si>
    <t>Coordenador do projeto:</t>
  </si>
  <si>
    <t>Atualizada em:</t>
  </si>
  <si>
    <t>Dados gerais do Projeto</t>
  </si>
  <si>
    <t>Área total alocada ao projeto (APL) em m²</t>
  </si>
  <si>
    <t>Duração do projeto expressa em número de meses (DPM)</t>
  </si>
  <si>
    <t>Valor total do projeto (sem custos indiretos)</t>
  </si>
  <si>
    <t>Itens de custos indiretos</t>
  </si>
  <si>
    <t xml:space="preserve">Depreciação predial </t>
  </si>
  <si>
    <t xml:space="preserve">Conservação predial </t>
  </si>
  <si>
    <t>Serviços e suprimentos</t>
  </si>
  <si>
    <t xml:space="preserve">Depreciação de laboratórios e equipamentos de pesquisa </t>
  </si>
  <si>
    <t xml:space="preserve">Manutenção de laboratórios e equipamentos de pesquisa </t>
  </si>
  <si>
    <t>Total</t>
  </si>
  <si>
    <t>Valores consolidados</t>
  </si>
  <si>
    <t>Teto dos custos indiretos (indicar percentual quando for o caso)</t>
  </si>
  <si>
    <t>Teto dos custos indiretos</t>
  </si>
  <si>
    <t>Total dos custos indiretos</t>
  </si>
  <si>
    <t>Valor total do projeto (com custos indiretos)</t>
  </si>
  <si>
    <t>cotação do dólar:</t>
  </si>
  <si>
    <t>atualizar manualmente - aba "dolar"</t>
  </si>
  <si>
    <t>Nº</t>
  </si>
  <si>
    <t>Equipamentos</t>
  </si>
  <si>
    <t>horas</t>
  </si>
  <si>
    <t>Valor do equipamento (US$)</t>
  </si>
  <si>
    <t>Valor do equipamento (R$)</t>
  </si>
  <si>
    <t>Depreciação</t>
  </si>
  <si>
    <t>Manutenção</t>
  </si>
  <si>
    <t>Relação de equipamentos que serão usados no projeto</t>
  </si>
  <si>
    <t>Difratômetro de raios X Panalytical modelo Aeris</t>
  </si>
  <si>
    <t>Microtomógrafo Bruker SkyScan 1272 CMOS</t>
  </si>
  <si>
    <t xml:space="preserve">Tecnologia de impressão 3D por Sinterização Seletiva à Laser (SLS) 3D Systems modelo Sinterstation HiQ </t>
  </si>
  <si>
    <t>Tecnologia de impressão 3D por extrusão de filamento (FDM) Stratasys modelo Fortus 400mc</t>
  </si>
  <si>
    <t>DMP (em processo de compra) - Aprox. 1,3 milhões.</t>
  </si>
  <si>
    <t>DLP Adventure Technology + forno sinterização - Aprox 985 mil</t>
  </si>
  <si>
    <t>Sist. de montagem Flip-Chip Semi Corp Eagle 860</t>
  </si>
  <si>
    <t>SISTEMA DE DEPOSICAO DE FILMES FINOS COM DUPLO PROCESSO DE DEPOSICAO</t>
  </si>
  <si>
    <t>estação de trabalho</t>
  </si>
  <si>
    <t xml:space="preserve">Microscópio eletrônico de varredura com litografia por feixe de elétrons - FEG-SEM Tescan modelo   Mira 3 XMU equipado com EDS 60 mm Bruker </t>
  </si>
  <si>
    <t xml:space="preserve">Sistema de nanomanipuladores para medidas elétricos in situ em microcópio eletrônico de varredura com resolução de 100 nm Imina Technologies  modelo miBot BT-14  </t>
  </si>
  <si>
    <t>Microscópio de Força Atômica Nanosurf modelo EasyScan 2</t>
  </si>
  <si>
    <t>Microscópio óptico com fluorescência Olympus modelo MX61</t>
  </si>
  <si>
    <t xml:space="preserve">Sistemas de medidas elétricas por 4 pontas  Jandell modelo 3000+ com RM3000 Test Unit </t>
  </si>
  <si>
    <t>Espectrômetro de Fluorescência de Raios-X (XRF) Fischer modelo XDV-SD</t>
  </si>
  <si>
    <t>Sistema de glove-box com spinner e evaporadora térmica orgânica/ inorgânica integrados em atmosfera inerte Mbraun modelo LAB master sp</t>
  </si>
  <si>
    <t>MicroFlex</t>
  </si>
  <si>
    <t>Probe Station</t>
  </si>
  <si>
    <t>RF</t>
  </si>
  <si>
    <t>Sistema de Deposição por Spray ultrassônico Sonotek modelo  ExactaCoat</t>
  </si>
  <si>
    <t>Processamento térmico rápido (RTP)  Allwin21 modelo AccuThermo  AW 61</t>
  </si>
  <si>
    <t>Microscópio de infravermelho Thermo Electron modelo iN10</t>
  </si>
  <si>
    <t xml:space="preserve">Espectrômetro de absorção e fluorescência UV-Vis-NIR Horiba modelo Duetta </t>
  </si>
  <si>
    <t>Espectrômetro  UV/VIS/NIR Perkin Elmer modelo Lambda 900</t>
  </si>
  <si>
    <t>Simulador Solar ScienceTech modelo SS 1kW</t>
  </si>
  <si>
    <t>Caracterização de circuitos integrados fotônicos com montagem micro/nano posicionadores automáticos</t>
  </si>
  <si>
    <t>Perfilômetro NanoMap modelo 500LT</t>
  </si>
  <si>
    <t xml:space="preserve">Evaporadora térmica alto vácuo Edwards modelo EV400 </t>
  </si>
  <si>
    <t>Shaker</t>
  </si>
  <si>
    <t xml:space="preserve">Potenciostato/Galvanostato Metrohn AG mdoelo Autolab  PGSTAT302N </t>
  </si>
  <si>
    <t>Mesa 3D</t>
  </si>
  <si>
    <t xml:space="preserve">Laser sintonizável banda C infravermelho com saída em fibra optica      </t>
  </si>
  <si>
    <t xml:space="preserve">Impressora jato de tinta para materiais metálicos -  Dimatix modelo DMP-28 </t>
  </si>
  <si>
    <t>Câmara Climática</t>
  </si>
  <si>
    <t>Câmara Térmica</t>
  </si>
  <si>
    <t>Analisador de parâmetros semicondutores - B1500A</t>
  </si>
  <si>
    <t xml:space="preserve">Impressoa jato de tinta para materiais orgânicos -  Dimatix modelo DMP-28 </t>
  </si>
  <si>
    <t>Espectrômetro de Infravermelho - Spectrum 100 - Perkin Elmer</t>
  </si>
  <si>
    <t>Alinhadora de máscara por contato UV400  Karl Suss Modelo MJB3</t>
  </si>
  <si>
    <t xml:space="preserve">Sistema de corrosão seca por íons reativos Oxford Tech. modelo RIE-80 </t>
  </si>
  <si>
    <t>Spin Coating Brewer Science modelo Cee 200CBX 8"  com placa quente</t>
  </si>
  <si>
    <t xml:space="preserve">Sistema de deposição e recozimento – Brewer Science modelo Cee 200CBX  8"  </t>
  </si>
  <si>
    <t>Spin Coating para fotoresiste Headway 6''</t>
  </si>
  <si>
    <t xml:space="preserve">Microscópio óptico de inspeção com capacidade de até 8" Nikon modelo Eclipse L200       </t>
  </si>
  <si>
    <t>Sistema de Litografia direta a Laser UV Heidelberg Instruments modelo DWL-66FS (DWL)</t>
  </si>
  <si>
    <t xml:space="preserve">Sistema de deposição de filmes finos Langmuir-Blodgett com cuba - Biolin Scientific </t>
  </si>
  <si>
    <t xml:space="preserve">Sistema de limpeza de máscaras e substrato Balzers modelo BMC701 </t>
  </si>
  <si>
    <t>Copiadora de máscaras por UV Tamarack Série 155</t>
  </si>
  <si>
    <t xml:space="preserve">Analisador de parâmetros opticos </t>
  </si>
  <si>
    <t>Medidor de Ângulo de Contato DataPhysics Instruments modelo OCA 15</t>
  </si>
  <si>
    <t>Microscópio de luz polarizada Olympus modelo BX51 com estágio de aquecimento/resfriamento Instec</t>
  </si>
  <si>
    <t>Must 3+</t>
  </si>
  <si>
    <t>Equip. Elétricos</t>
  </si>
  <si>
    <t>CM-60</t>
  </si>
  <si>
    <t>Plasma Etching</t>
  </si>
  <si>
    <t>Raio-X</t>
  </si>
  <si>
    <t>Microscópico Metalográfico</t>
  </si>
  <si>
    <t>Estufa</t>
  </si>
  <si>
    <t>Microscópio Estereo</t>
  </si>
  <si>
    <t>EMIC</t>
  </si>
  <si>
    <t>Instrumentação</t>
  </si>
  <si>
    <t>Autoclave</t>
  </si>
  <si>
    <t>Névoa salina</t>
  </si>
  <si>
    <t>Ciclagem Líq. Líq.</t>
  </si>
  <si>
    <t>Politrizes</t>
  </si>
  <si>
    <t>Cadinho</t>
  </si>
  <si>
    <t>Máquina de selagem hermética Solid State Equip. Co. modelo Parallel Seam 1000</t>
  </si>
  <si>
    <t>Cortadora de lâminas Disco Corp modelo DAD 321</t>
  </si>
  <si>
    <t>Pick and Place para SMD Essemtech Paraquda</t>
  </si>
  <si>
    <t>Forno de Refusão Heller modelo 1088</t>
  </si>
  <si>
    <t>Soldadora de Fios manual TPT HB 160</t>
  </si>
  <si>
    <t>Soldadora de Fios automática ITM Bonda 101</t>
  </si>
  <si>
    <t xml:space="preserve">Dispensador resina / pasta de solda CAM/ALOT 1414 </t>
  </si>
  <si>
    <t>Estação de retrabalho de BGA PACE ThermoFloTF200</t>
  </si>
  <si>
    <t>Equip. inspeção de Raios-X PACE XR 2000</t>
  </si>
  <si>
    <t>Impressora de solda por estêncil DIMA SMT HS 100</t>
  </si>
  <si>
    <t xml:space="preserve">Microscópio para inspeção de BGA Ersascope </t>
  </si>
  <si>
    <t>Perfilômetro Mecânico  Dektak XT</t>
  </si>
  <si>
    <t xml:space="preserve">Sistema de deposição Sputtering RF Kurt Lesker 3 Guns </t>
  </si>
  <si>
    <t>Sistema de Processamento Laser UV Newport modelo Pulseo</t>
  </si>
  <si>
    <t>Agitador magnético digital com aquecimento e sonda com base quadrada em cerâmica</t>
  </si>
  <si>
    <t>Tecnologia de impressão 3D por multijatos (PolyJet) Objet - Stratasys modelo Connex 350</t>
  </si>
  <si>
    <t>Equipamento de Manufatura aditiva por processo de impressão 3D em gesso e outros materiais - marca Zcorp</t>
  </si>
  <si>
    <t>Plataforma experimental de Impressão 3D para ensaios e estruturação de materiais em camadas Projeto open source CTI modelo Fab@CTI</t>
  </si>
  <si>
    <t xml:space="preserve">Tecnologia de impressão 3D por extrusão de filamento (FDM) Stratasys modelo Vantage i </t>
  </si>
  <si>
    <t>Tecnologia de impressão 3D por Sinterização Seletiva à Laser (SLS) DTM Corporation - 3D Systems modelo Sinterstation 2000</t>
  </si>
  <si>
    <t>Tecnologia de impressão 3D por jateamento de cera (WaxJet)  Solidscape - Stratasys modelo R66+</t>
  </si>
  <si>
    <t>Tecnologia de impressão 3D por jateamento de líquido aglutinante (Binder Jetting) Z Corporation - 3D Systems modelo 3DP Spectrum Z510</t>
  </si>
  <si>
    <t>Digitalizador tridimensional com capacidade de geração de nuvens de pontos, exportados na forma de arquivos digitais - Scanner 3D-EXAscan</t>
  </si>
  <si>
    <t>Soldadora semi automática de células por aquecimento LightBeam.</t>
  </si>
  <si>
    <t>Mesa de corte e processamento de barramentos para células.</t>
  </si>
  <si>
    <t>Mesas para posicionamento e movimentação de módulos fotovoltaicos</t>
  </si>
  <si>
    <t>Sistema de movimentação aéreo com braço pantográfico para manipulação e transporte de vidros</t>
  </si>
  <si>
    <t>Laminador de módulos fotovoltaicos</t>
  </si>
  <si>
    <t>Lavadora e secadora de vidros vertical AGMAQ</t>
  </si>
  <si>
    <t>Câmara de caracterização de painéis fotovoltaicos com simulador solar por flash e imageamento por  eletroluminescência.</t>
  </si>
  <si>
    <t>Equipamento de manufatura aditiva por feixe de elétrons - ARCAM Q10 Plus</t>
  </si>
  <si>
    <t>Equipamento para usinagem três eixos de blocos de resina e scanner 3D para cópia de objetos tridimensionais - Roland - MDX-20</t>
  </si>
  <si>
    <t>Leitora de microplacas (Elisa)</t>
  </si>
  <si>
    <t xml:space="preserve"> Estação de Trabalho para Processamento de Dados em Unidades de Processamento Gráfico (GPU)</t>
  </si>
  <si>
    <t>TOTAL</t>
  </si>
  <si>
    <t>Memória de Cálculo de Custos Indiretos</t>
  </si>
  <si>
    <t>Variáveis baseadas nos contratos do CTI</t>
  </si>
  <si>
    <t>Gastos anuais do  CTI com serviços e suprimentos</t>
  </si>
  <si>
    <t>Dados das construções</t>
  </si>
  <si>
    <t>ATC</t>
  </si>
  <si>
    <t>Área total construída  de todos os campi (m²)</t>
  </si>
  <si>
    <t>PAS</t>
  </si>
  <si>
    <t>CMQ</t>
  </si>
  <si>
    <t>VUP</t>
  </si>
  <si>
    <t>Vida útil média estimada para edificações prediais (anos)</t>
  </si>
  <si>
    <t>PAMP</t>
  </si>
  <si>
    <t>Dados relativos a equipamentos de pesquisa usados nos projetos</t>
  </si>
  <si>
    <t>VUE</t>
  </si>
  <si>
    <t>PAME</t>
  </si>
  <si>
    <t>Variáveis relativas ao projeto de pesquisa</t>
  </si>
  <si>
    <t>A</t>
  </si>
  <si>
    <t>Área privativa alocada ao projeto (A) em m²</t>
  </si>
  <si>
    <t>D</t>
  </si>
  <si>
    <t>VTP</t>
  </si>
  <si>
    <t>Art. 5º -  Custo indireto total da depreciação predial (TDP)</t>
  </si>
  <si>
    <t xml:space="preserve">O custo da depreciação predial (TDP) é calculado considerando os seguintes elementos: </t>
  </si>
  <si>
    <t>O custo mensal com depreciação predial por metro quadrado alocado ao projeto (CMD) é calculado por:</t>
  </si>
  <si>
    <t xml:space="preserve">O custo indireto total a ser atribuído ao projeto referente à depreciação predial (TDP) é calculado multiplicando CMD pela área alocada ao projeto (A) e a duração do projeto expressa em número de meses (D): </t>
  </si>
  <si>
    <t>Art. 6º - Custo indireto total da conservação predial</t>
  </si>
  <si>
    <t>O custo da conservação predial (TCP) é calculado considerando os seguintes elementos:</t>
  </si>
  <si>
    <t>O custo mensal com conservação predial por metro quadrado alocado ao projeto (CMC) é calculado por:</t>
  </si>
  <si>
    <t>O custo indireto total a ser atribuído ao projeto referente à conservação predial (TCP) é proporcional à área alocada ao projeto (A) e a duração do projeto expressa em número de meses (D), calculado por:</t>
  </si>
  <si>
    <t>Art. 7º - Depreciação de equipamentos usados na pesquisa</t>
  </si>
  <si>
    <t>II - A provisão de recursos necessários para repor o equipamento utilizado em um projeto é ainda proporcional ao número de horas (H) utilizadas no projeto. O custo de reposição de cada equipamento (CRE) é calculado por:</t>
  </si>
  <si>
    <t>A provisão total de recursos para reposição de equipamentos (TRE) é calculado por:</t>
  </si>
  <si>
    <t>Art 8º - Provisão de recursos para manutenção de equipamentos</t>
  </si>
  <si>
    <t>II - O custo de manutenção do equipamento (CME) é ainda  proporcional ao número de horas (H) efetivamente utilizadas. Assim, seu cálculo é feito por:</t>
  </si>
  <si>
    <t>A provisão total de recursos para manutenção de equipamentos (TME) é calculada por:</t>
  </si>
  <si>
    <t>Art 9º - Custos indiretos com suprimentos e serviços</t>
  </si>
  <si>
    <t>Considera quanto o CTI gasta por ano por cada metro quadrado construído com serviços e suprimentos (por exempo energia elétrica, esgoto, vigilância, limpeza, comunicações, insumos para laboratórios, entre outros) é calculado com base nos seguintes elementos:</t>
  </si>
  <si>
    <t>I - Soma de todos os gastos totais anuais com serviços e suprimentos (GTAS)</t>
  </si>
  <si>
    <t xml:space="preserve">II - Área total construída (ATC) do CTI </t>
  </si>
  <si>
    <t>O custo mensal com os serviços e suprimentos (CMS) por metro quadrado privativo de laboratório avocado ao projeto é calculado por:</t>
  </si>
  <si>
    <t>O custo total atribuído a serviços e suprimentos (TS) é ainda proporcional à área alocada ao projeto (A) e ao número de horas (H) estimadas para utilização do laboratório no projeto:</t>
  </si>
  <si>
    <t>Art 10º - Os custos indiretos totais do projeto resultaram das seguintes componentes:</t>
  </si>
  <si>
    <t>Sigla</t>
  </si>
  <si>
    <t>Item de custo indireto</t>
  </si>
  <si>
    <t>Valor</t>
  </si>
  <si>
    <t>TDP</t>
  </si>
  <si>
    <t>Custo indireto da depreciação predial</t>
  </si>
  <si>
    <t>TCP</t>
  </si>
  <si>
    <t>Custo indireto de conservação predial</t>
  </si>
  <si>
    <t xml:space="preserve">TRE </t>
  </si>
  <si>
    <t>Custo de depreciação de equipamentos</t>
  </si>
  <si>
    <t>TME</t>
  </si>
  <si>
    <t>Provisão para manutenção de equipamentos</t>
  </si>
  <si>
    <t>TS</t>
  </si>
  <si>
    <t>Custo de suprimentos e serviços</t>
  </si>
  <si>
    <t>SUBTOTAL</t>
  </si>
  <si>
    <t>Teto (10% do valor do projeto)</t>
  </si>
  <si>
    <t>Detalhamento das áreas físicas alocadas ao projeto</t>
  </si>
  <si>
    <t>Área total</t>
  </si>
  <si>
    <t>Custo/m2</t>
  </si>
  <si>
    <t>Descrição da área</t>
  </si>
  <si>
    <t>Localização</t>
  </si>
  <si>
    <t>Área (m²)</t>
  </si>
  <si>
    <t>Nº de meses</t>
  </si>
  <si>
    <t>% de utilização</t>
  </si>
  <si>
    <t>LAimage - Lab. de Imageamento p/ Micro e Nanoeletrônica-o</t>
  </si>
  <si>
    <t>P2TN</t>
  </si>
  <si>
    <t>LApacs - Lab. Aberto de Empacotamento e Integração de Sistemas</t>
  </si>
  <si>
    <t>P1SN</t>
  </si>
  <si>
    <t>LAmina - Lab. de Micro e Nanofabricação</t>
  </si>
  <si>
    <t>P1TN</t>
  </si>
  <si>
    <t>LAprint - Lab. Aberto de impressão 3D</t>
  </si>
  <si>
    <t>P4TN</t>
  </si>
  <si>
    <t>LAfoto - Lab. Aberto de Energia Fotovoltaica</t>
  </si>
  <si>
    <t>P3TN</t>
  </si>
  <si>
    <t>LAsupport - Lab. de Processamento Fisico-Químico</t>
  </si>
  <si>
    <t>P1TS</t>
  </si>
  <si>
    <t>LAsupport - Lab. de Caracterização Espectroscópica</t>
  </si>
  <si>
    <t>P1SS</t>
  </si>
  <si>
    <t>LAsupport - Lab. de Fotônica</t>
  </si>
  <si>
    <t>P2SS</t>
  </si>
  <si>
    <t>LAsupport - Lab. de Biotecnologia</t>
  </si>
  <si>
    <t>LAsupport - DIPAQ - Laboratório de Análises de Falhas</t>
  </si>
  <si>
    <t>LAsupport - DIPAQ - Laboratório de Qualificação de Produtos Eletrônicos</t>
  </si>
  <si>
    <t>LAsupport - DIPAQ - Laboratório de Teste e Caracterização Elétrica</t>
  </si>
  <si>
    <t>P2TS</t>
  </si>
  <si>
    <t>laedas</t>
  </si>
  <si>
    <t>?</t>
  </si>
  <si>
    <t>Laboratório de Eletrônica Têxtil e Impressa</t>
  </si>
  <si>
    <t>Laboratório de Materiais Funcionais</t>
  </si>
  <si>
    <t>Laboratório de Processos Físicos</t>
  </si>
  <si>
    <t>Laboratório de Sistemas Ciberfísicos</t>
  </si>
  <si>
    <t>P4TS</t>
  </si>
  <si>
    <t>Laboratório de Aprendizado de Máquina e Segurança da Informação</t>
  </si>
  <si>
    <t>P3SS</t>
  </si>
  <si>
    <t>Laboratório de Metodologias para Governo Digital</t>
  </si>
  <si>
    <t>Laboratório de Projetos e Circuitos Integrados</t>
  </si>
  <si>
    <t>P2SN</t>
  </si>
  <si>
    <t>Laboratório de Recuperação de Materiais Eletrônicos</t>
  </si>
  <si>
    <t>Laboratório de Internet das Coisas</t>
  </si>
  <si>
    <t>Laboratório de Biofabricação</t>
  </si>
  <si>
    <t>Laboratório de Caracterização Óptica</t>
  </si>
  <si>
    <t>Laboratório de Tecnologias Virtuais</t>
  </si>
  <si>
    <t>Laboratório de Processamento Térmico - Sala fornos</t>
  </si>
  <si>
    <t>Laboratório de Processamento Orgânico</t>
  </si>
  <si>
    <t>Laboratório de Corte de Vidros</t>
  </si>
  <si>
    <t>Laboratório de Instrumentação Científica</t>
  </si>
  <si>
    <t>Laboratório Linha Piloto de Displays</t>
  </si>
  <si>
    <t>Laboratório LMECI</t>
  </si>
  <si>
    <t>Lista de Equipamentos por laboratórios - obrigatório a escolha de pelo menos 1 equipamento</t>
  </si>
  <si>
    <t>Selecione os equipamentos marcando "x". Depois execute a macro "Executar lista de equipamentos selecionados"</t>
  </si>
  <si>
    <t>Equipamento</t>
  </si>
  <si>
    <t>Laboratório</t>
  </si>
  <si>
    <t>Ano fabricação</t>
  </si>
  <si>
    <t>Valor da aquisição (R$)</t>
  </si>
  <si>
    <t>Valor da aquisição convertido (US$)</t>
  </si>
  <si>
    <t>Marcar com (X) - máximo de 50 equip.</t>
  </si>
  <si>
    <t>Microscópio eletrônico de varredura com litografia por feixe de elétrons - FEG-SEM Tescan modelo Mira 3 XMU equipado com EDS 60 mm Bruker</t>
  </si>
  <si>
    <t>LAimage - Lab. de Imageamento p/ Micro e Nanoeletrônica</t>
  </si>
  <si>
    <t>R$ 1.300.000,00</t>
  </si>
  <si>
    <t>Sistema de nanomanipuladores para medidas elétricos in situ em microcópio eletrônico de varredura com resolução de 100 nm Imina Technologies modelo miBot BT-14</t>
  </si>
  <si>
    <t>R$ 350.000,00</t>
  </si>
  <si>
    <t>R$ 215.000,00</t>
  </si>
  <si>
    <t>R$ 70.000,00</t>
  </si>
  <si>
    <t>Sistemas de medidas elétricas por 4 pontas Jandell modelo 3000+ com RM3000 Test Unit</t>
  </si>
  <si>
    <t>R$ 40.000,00</t>
  </si>
  <si>
    <t>R$ 50.000,00</t>
  </si>
  <si>
    <t>Microscópio óptico com fluorescência Thermofisher modelo Evos M5000</t>
  </si>
  <si>
    <t>R$ 431.962,99</t>
  </si>
  <si>
    <t>R$ 1.068.059,87</t>
  </si>
  <si>
    <t>R$ 1.519.069,47</t>
  </si>
  <si>
    <t>LAsupport-Processos Fisico-Químicos</t>
  </si>
  <si>
    <t>R$ 1.508.000,00</t>
  </si>
  <si>
    <t>Sistema de Deposição por Spray ultrassônico Sonotek modelo ExactaCoat</t>
  </si>
  <si>
    <t>R$ 160.000,00</t>
  </si>
  <si>
    <t>R$ 170.000,00</t>
  </si>
  <si>
    <t>Impressora jato de tinta para materiais metálicos - Dimatix modelo DMP-28</t>
  </si>
  <si>
    <t>Lasupport-Processos Fisico-Químicos</t>
  </si>
  <si>
    <t>Impressora jato de tinta para materiais orgânicos - Dimatix modelo DMP-28</t>
  </si>
  <si>
    <t>R$ 60.000,00</t>
  </si>
  <si>
    <t>R$ 150.000,00</t>
  </si>
  <si>
    <t>Evaporadora térmica alto vácuo Edwards modelo EV400</t>
  </si>
  <si>
    <t>Sputtering de filmes ultra finos de ouro - E5200 Auto Sputter Coater</t>
  </si>
  <si>
    <t>R$ 1,00</t>
  </si>
  <si>
    <t>Forno tubular EDG modelo FTHI-60</t>
  </si>
  <si>
    <t>R$ 15.420,00</t>
  </si>
  <si>
    <t>Evaporadora por feixe de elétrons Edwars FL400 Auto 306 cryo (Em
 manutenção)</t>
  </si>
  <si>
    <t>R$ 9.150,00</t>
  </si>
  <si>
    <t>Câmara para caracterização de materiais por Field Emission</t>
  </si>
  <si>
    <t>Infraestrutura complementar para preparação de amostras</t>
  </si>
  <si>
    <t>Sistema de Análise Óptica para Dispositivos de Iluminação – EVERFINE
 YF1000</t>
  </si>
  <si>
    <t>LAsupport-Processos Fisico-CIIES</t>
  </si>
  <si>
    <t>R$ 365.176,26</t>
  </si>
  <si>
    <t>Gerador de eletrostática EVERFINE modelo EMS61000-2A</t>
  </si>
  <si>
    <t>R$ 26.144,97</t>
  </si>
  <si>
    <t>Gerador de surtos EVERFINE modelo EMS61000-5A</t>
  </si>
  <si>
    <t>R$ 33.735,79</t>
  </si>
  <si>
    <t>Gerador de interrupção e quedas de tensão EVERFINE modelo EMS
 61000-11K</t>
  </si>
  <si>
    <t>R$ 18.554,14</t>
  </si>
  <si>
    <t>Gerador de transientes EVERFINE modelo EMS 61000-4B</t>
  </si>
  <si>
    <t>R$ 32.049,55</t>
  </si>
  <si>
    <t>LAasupport - Caracterização Espectroscópica</t>
  </si>
  <si>
    <t>R$ 165.000,00</t>
  </si>
  <si>
    <t>Espectrômetro de absorção e fluorescência UV-Vis-NIR Horiba modelo Duetta</t>
  </si>
  <si>
    <t>R$ 315.000,00</t>
  </si>
  <si>
    <t>Espectrômetro UV/VIS/NIR Perkin Elmer modelo Lambda 900</t>
  </si>
  <si>
    <t>R$ 180.000,00</t>
  </si>
  <si>
    <t>R$ 120.000,00</t>
  </si>
  <si>
    <t>R$ 55.000,00</t>
  </si>
  <si>
    <t>R$ 45.000,00</t>
  </si>
  <si>
    <t>Simulador Solar Ossila G2009A1</t>
  </si>
  <si>
    <t>R$ 14.968,20</t>
  </si>
  <si>
    <t>Simulador Solar LumiSun-50</t>
  </si>
  <si>
    <t>R$ 79.310,23</t>
  </si>
  <si>
    <t>Lasupport-Fotônica</t>
  </si>
  <si>
    <t>R$ 145.000,00</t>
  </si>
  <si>
    <t>Laser sintonizável banda C infravermelho com saída em fibra optica</t>
  </si>
  <si>
    <t>R$ 85.000,00</t>
  </si>
  <si>
    <t>R$ 235.421,31</t>
  </si>
  <si>
    <t>Analisador de parâmetros opticos</t>
  </si>
  <si>
    <t>R$ 103.000,00</t>
  </si>
  <si>
    <t>Fonte laser sintonizável - Agilent 81980A Tunable Laser Source</t>
  </si>
  <si>
    <t>R$ 81.412,94</t>
  </si>
  <si>
    <t>Fonte laser sintonizável - CoBriteDX4 - 2 - C - H01 - FA</t>
  </si>
  <si>
    <t>R$ 23.666,74</t>
  </si>
  <si>
    <t>Fonte de luz de banda larga - Amonics ASLD-CWDM-5-B-FA Super-Wideband Light Source</t>
  </si>
  <si>
    <t>R$ 33.717,75</t>
  </si>
  <si>
    <t>Medidor de potência ótica com 4 canais - Keysight N7744A Optical Multiport Power Meter</t>
  </si>
  <si>
    <t>R$ 10.903,36</t>
  </si>
  <si>
    <t>Estabilizador ativo de polarização - General Photonics Polastay PDS 103-A</t>
  </si>
  <si>
    <t>R$ 15.038,12</t>
  </si>
  <si>
    <t>Analisador de espectro ótico - Yokogawa AQ6370C</t>
  </si>
  <si>
    <t>R$ 63.593,72</t>
  </si>
  <si>
    <t>Fonte e medidor de tensão/corrente integrado - Keythley 2401 Sourcemeter</t>
  </si>
  <si>
    <t>R$ 5.419,36</t>
  </si>
  <si>
    <t>Setups para acoplamento vertical e lateral</t>
  </si>
  <si>
    <t>R$ 26.578,79</t>
  </si>
  <si>
    <t>Máquina de fusão (emenda) de fibra ótica - FITEL S179 Fusion Splicer</t>
  </si>
  <si>
    <t>R$ 19.900,00</t>
  </si>
  <si>
    <t>Impressora 3D de resina - Creality Halot Mage 8K</t>
  </si>
  <si>
    <t>R$ 3.927,70</t>
  </si>
  <si>
    <t>Impressora Ican 3D Modelo 593 -</t>
  </si>
  <si>
    <t>LAsupport - Lab. Biotecnologia</t>
  </si>
  <si>
    <t>R$ 850.000,00</t>
  </si>
  <si>
    <t>Misturador Hauschild Speed Mixer 250 DAC</t>
  </si>
  <si>
    <t>R$ 30.000,00</t>
  </si>
  <si>
    <t>Liofilizador Labconco modelo FreeZone 2.5 Liter Benchtop Freeze Dryers</t>
  </si>
  <si>
    <t>R$ 73.360,00</t>
  </si>
  <si>
    <t>Leitor de microplacas Loccus modelo LMR 96-i</t>
  </si>
  <si>
    <t>R$ 22.000,00</t>
  </si>
  <si>
    <t>Forno de sinterização com controlador Incon modelo CNT 400</t>
  </si>
  <si>
    <t>R$ 135.260,00</t>
  </si>
  <si>
    <t>R$ 300.000,00</t>
  </si>
  <si>
    <t>LAsupport-DIPAQ</t>
  </si>
  <si>
    <t>R$ 1.000.000,00</t>
  </si>
  <si>
    <t>R$ 700.000,00</t>
  </si>
  <si>
    <t>R$ 645.022,43</t>
  </si>
  <si>
    <t>R$ 200.000,00</t>
  </si>
  <si>
    <t>x</t>
  </si>
  <si>
    <t>R$ 179.562,50</t>
  </si>
  <si>
    <t>R$ 85.351,95</t>
  </si>
  <si>
    <t>R$ 78.148,65</t>
  </si>
  <si>
    <t>R$ 58.000,00</t>
  </si>
  <si>
    <t>R$ 56.153,70</t>
  </si>
  <si>
    <t>R$ 52.434,60</t>
  </si>
  <si>
    <t>R$ 43.094,12</t>
  </si>
  <si>
    <t>R$ 38.000,00</t>
  </si>
  <si>
    <t>R$ 30.881,23</t>
  </si>
  <si>
    <t>R$ 9.800,00</t>
  </si>
  <si>
    <t>R$ 2.225,69</t>
  </si>
  <si>
    <t>Alinhadora de máscara por contato UV400 Karl Suss Modelo MJB3</t>
  </si>
  <si>
    <t>Sistema de corrosão seca por íons reativos Oxford Tech. modelo RIE-80</t>
  </si>
  <si>
    <t>Spin Coating Brewer Science modelo Cee 200CBX 8" com placa quente</t>
  </si>
  <si>
    <t>R$ 80.000,00</t>
  </si>
  <si>
    <t>Sistema de deposição e recozimento – Brewer Science modelo Cee 200CBX 8"</t>
  </si>
  <si>
    <t>Microscópio óptico de inspeção com capacidade de até 8" Nikon modelo Eclipse L200</t>
  </si>
  <si>
    <t>R$ 1.100.000,00</t>
  </si>
  <si>
    <t>Sistema de deposição de filmes finos Langmuir-Blodgett com cuba - Biolin Scientific</t>
  </si>
  <si>
    <t>R$ 25.000,00</t>
  </si>
  <si>
    <t>Sistema de limpeza de máscaras e substrato Balzers modelo BMC701</t>
  </si>
  <si>
    <t>R$ 250.000,00</t>
  </si>
  <si>
    <t>R$ 1.644,40</t>
  </si>
  <si>
    <t>R$ 210.000,00</t>
  </si>
  <si>
    <t>R$ 65.000,00</t>
  </si>
  <si>
    <t>Dispensador resina / pasta de solda CAM/ALOT 1414</t>
  </si>
  <si>
    <t>R$ 225.000,00</t>
  </si>
  <si>
    <t>R$ 86,00</t>
  </si>
  <si>
    <t>R$ 123.000,00</t>
  </si>
  <si>
    <t>Microscópio para inspeção de BGA Ersascope</t>
  </si>
  <si>
    <t>R$ 220.000,00</t>
  </si>
  <si>
    <t>Perfilômetro Mecânico Dektak XT</t>
  </si>
  <si>
    <t>R$ 600.000,00</t>
  </si>
  <si>
    <t>Sistema de deposição Sputtering RF Kurt Lesker 3 Guns</t>
  </si>
  <si>
    <t>R$ 400.000,00</t>
  </si>
  <si>
    <t>R$ 106.642,26</t>
  </si>
  <si>
    <t>R$ 10.000,00</t>
  </si>
  <si>
    <t>R$ 516.734,43</t>
  </si>
  <si>
    <t>R$ 146.510,00</t>
  </si>
  <si>
    <t>R$ 5.000,00</t>
  </si>
  <si>
    <t>R$ 221.915,12</t>
  </si>
  <si>
    <t>Tecnologia de impressão 3D por extrusão de filamento (FDM) Stratasys modelo Vantage i</t>
  </si>
  <si>
    <t>R$ 340.236,00</t>
  </si>
  <si>
    <t>Tecnologia de impressão 3D por Sinterização Seletiva à Laser (SLS) 3D Systems modelo Sinterstation HiQ</t>
  </si>
  <si>
    <t>R$ 494.506,38</t>
  </si>
  <si>
    <t>Tecnologia de impressão 3D por jateamento de cera (WaxJet) Solidscape - Stratasys modelo R66+</t>
  </si>
  <si>
    <t>R$ 60.849,90</t>
  </si>
  <si>
    <t>R$ 122.768,76</t>
  </si>
  <si>
    <t>R$ 79.062,61</t>
  </si>
  <si>
    <t>R$ 2.530.293,07</t>
  </si>
  <si>
    <t>R$ 15.000,00</t>
  </si>
  <si>
    <t>Estação de Trabalho para Processamento de Dados em Unidades de Processamento Gráfico (GPU)</t>
  </si>
  <si>
    <t>R$ 164.285,00</t>
  </si>
  <si>
    <t>R$ 137.887,25</t>
  </si>
  <si>
    <t>R$ 9.400,00</t>
  </si>
  <si>
    <t>R$ 20.863,00</t>
  </si>
  <si>
    <t>R$ 54.125,00</t>
  </si>
  <si>
    <t>R$ 349.201,89</t>
  </si>
  <si>
    <t>R$ 86.950,00</t>
  </si>
  <si>
    <t>Câmara de caracterização de painéis fotovoltaicos com simulador solar por flash e imageamento por eletroluminescência.</t>
  </si>
  <si>
    <t>R$ 134.805,08</t>
  </si>
  <si>
    <t>DELL Optiplex 9020 - 8G RAM, Monitor, mouse e teclado</t>
  </si>
  <si>
    <t>LAedas</t>
  </si>
  <si>
    <t>R$ 3.700,00</t>
  </si>
  <si>
    <t>Sun Ultra 40 M2 - 16G RAM, Monitor, mouse e teclado</t>
  </si>
  <si>
    <t>DELL Precision 3660 - 30G RAM, Monitor, mouse e teclado</t>
  </si>
  <si>
    <t>R$ 14.000,00</t>
  </si>
  <si>
    <t>Estação de trabalho</t>
  </si>
  <si>
    <t>Escritórios</t>
  </si>
  <si>
    <t>R$ 4.391,76</t>
  </si>
  <si>
    <t>Lista de Contratos e Suprimentos</t>
  </si>
  <si>
    <t>Selecione os contratos e suprimentos marcando "x". Depois execute a macro "Executar lista de contratos e suprimentos"</t>
  </si>
  <si>
    <t>Tipo</t>
  </si>
  <si>
    <t>Descrição do item</t>
  </si>
  <si>
    <t>Valor anual (R$)</t>
  </si>
  <si>
    <t>Marcar (X)</t>
  </si>
  <si>
    <t>Serviços</t>
  </si>
  <si>
    <t>Fornecimento de energia elétrica - CPFL</t>
  </si>
  <si>
    <t>Manutenção de equipamentos dos laboratórios abertos</t>
  </si>
  <si>
    <t>Coleta e Tratamento de esgotos - SANASA</t>
  </si>
  <si>
    <t>Serviço de mão de obra especializada de projetista</t>
  </si>
  <si>
    <t>Higienização de uniformes para salas limpas.</t>
  </si>
  <si>
    <t>Serviços prestados pela REDECOMEP</t>
  </si>
  <si>
    <t>Serviços de manutenção de veículos e seguro da frota</t>
  </si>
  <si>
    <t>Seguro Patrimonial</t>
  </si>
  <si>
    <t>Descarte, Transporte e Desfazimento de Produtos Químicos</t>
  </si>
  <si>
    <t>(gasto anual médio dos últimos 3 anos - 2022-2024)</t>
  </si>
  <si>
    <t>Telefonia Fixa - Longa Distância e DDR</t>
  </si>
  <si>
    <t>(gasto anual médio dos últimos 5 anos - 2020-2024)</t>
  </si>
  <si>
    <t>Serviços postais (SEDEX)</t>
  </si>
  <si>
    <t>Mão-de-obra</t>
  </si>
  <si>
    <t>Manutenção da infraestrura predial</t>
  </si>
  <si>
    <t>Vigilância</t>
  </si>
  <si>
    <t>(gasto anual médio considerando necessidade de reposição de componentes do sistema)</t>
  </si>
  <si>
    <t>Gestão administrativa (apoio, recepção, contabilidade, almoxarife)</t>
  </si>
  <si>
    <t>Limpeza e Conservação</t>
  </si>
  <si>
    <t>Jardinagem</t>
  </si>
  <si>
    <t>Materiais</t>
  </si>
  <si>
    <t>Materiais para infraestrutura civil, mecânica e elétrica e de TI</t>
  </si>
  <si>
    <t>(gasto anual médio considerando necessidade de reposição de itens de laboratório)</t>
  </si>
  <si>
    <t>Sistema de água deionizada</t>
  </si>
  <si>
    <t>Produtos químicos, vidrarias e outros insumos para laboratórios</t>
  </si>
  <si>
    <t>Fornecimento de água mineral</t>
  </si>
  <si>
    <t>(gasto anual médio com aquisição de licenças válidas por 3 anos em média)</t>
  </si>
  <si>
    <t>Itens de higiene (papel higiênico, sabonete líquido, alcool gel, entre outros)</t>
  </si>
  <si>
    <t>Óleo diesel para os grupos moto geradores</t>
  </si>
  <si>
    <t>Combustível para a frota</t>
  </si>
  <si>
    <t>Materiais/serviços</t>
  </si>
  <si>
    <t>Fornecimento de nitrogênio liquido e locação de tanque</t>
  </si>
  <si>
    <t>TIC</t>
  </si>
  <si>
    <t>Subscrição anual de suites de proteção Fortigates/Fortianalyzer</t>
  </si>
  <si>
    <t>Serviços técnicos de suporte computacional</t>
  </si>
  <si>
    <t>Link redundante de internet e armazenamento em nuvem</t>
  </si>
  <si>
    <t>Softwares - área técnica</t>
  </si>
  <si>
    <t>Taxa</t>
  </si>
  <si>
    <t>Uso de recursos hídricos das Bacias PCJ</t>
  </si>
  <si>
    <t>Gastos anuais com serviços e suprimentos</t>
  </si>
  <si>
    <t>Cotação do dólar (valor de venda) por ano (considerando o último mês do ano e a moeda brasileira do respectivo ano)</t>
  </si>
  <si>
    <t>Fonte:  Banco Central (https://www.bcb.gov.br/estabilidadefinanceira/historicocotacoes)</t>
  </si>
  <si>
    <t>Ano</t>
  </si>
  <si>
    <t>(1990-1993 - cruzeiros - Cr$)</t>
  </si>
  <si>
    <t>(a partir de agosto de 1993 - cruzeiros reais - CR$) - taxa flutuante de 1993 a 1999</t>
  </si>
  <si>
    <t>(1994 em diante - reais - R$)</t>
  </si>
  <si>
    <t>a partir de 2000 - cotação única</t>
  </si>
  <si>
    <t>https://www.bcb.gov.br/estabilidadefinanceira/fechamentodolar</t>
  </si>
  <si>
    <t>VALOR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</si>
</sst>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1">
    <numFmt numFmtId="164" formatCode="_-* #,##0.00_-;\-* #,##0.00_-;_-* &quot;-&quot;??_-;_-@"/>
    <numFmt numFmtId="165" formatCode="0.0"/>
    <numFmt numFmtId="166" formatCode="0.000"/>
    <numFmt numFmtId="167" formatCode="&quot;R$&quot;\ #,##0.00"/>
    <numFmt numFmtId="168" formatCode="&quot;R$&quot;\ #,##0.00;\-&quot;R$&quot;\ #,##0.00"/>
    <numFmt numFmtId="169" formatCode="0.000%"/>
    <numFmt numFmtId="170" formatCode="_-&quot;R$&quot;\ * #,##0.00_-;\-&quot;R$&quot;\ * #,##0.00_-;_-&quot;R$&quot;\ * &quot;-&quot;??_-;_-@"/>
    <numFmt numFmtId="171" formatCode="#,##0.0000"/>
    <numFmt numFmtId="172" formatCode="#,##0.0"/>
    <numFmt numFmtId="173" formatCode="#,##0.00_ ;\-#,##0.00\ "/>
    <numFmt numFmtId="174" formatCode="[$R$ -416]#,##0.00"/>
  </numFmts>
  <fonts count="24">
    <font>
      <sz val="11.0"/>
      <color theme="1"/>
      <name val="Calibri"/>
      <scheme val="minor"/>
    </font>
    <font>
      <sz val="11.0"/>
      <color theme="1"/>
      <name val="Calibri"/>
    </font>
    <font>
      <b/>
      <sz val="18.0"/>
      <color rgb="FF000000"/>
      <name val="Calibri"/>
    </font>
    <font>
      <sz val="11.0"/>
      <color rgb="FF000000"/>
      <name val="Calibri"/>
    </font>
    <font>
      <b/>
      <sz val="11.0"/>
      <color theme="1"/>
      <name val="Calibri"/>
    </font>
    <font>
      <b/>
      <sz val="14.0"/>
      <color rgb="FF000000"/>
      <name val="Calibri"/>
    </font>
    <font>
      <b/>
      <sz val="11.0"/>
      <color rgb="FF0000CC"/>
      <name val="Calibri"/>
    </font>
    <font>
      <b/>
      <sz val="11.0"/>
      <color rgb="FFFF0000"/>
      <name val="Calibri"/>
    </font>
    <font>
      <sz val="8.0"/>
      <color theme="1"/>
      <name val="Calibri"/>
    </font>
    <font/>
    <font>
      <sz val="11.0"/>
      <color rgb="FF000000"/>
      <name val="&quot;\0022Aptos Narrow\0022&quot;"/>
    </font>
    <font>
      <sz val="11.0"/>
      <color rgb="FF000000"/>
      <name val="Arial"/>
    </font>
    <font>
      <sz val="10.0"/>
      <color theme="1"/>
      <name val="Arial"/>
    </font>
    <font>
      <sz val="10.0"/>
      <color theme="1"/>
      <name val="Calibri"/>
    </font>
    <font>
      <i/>
      <sz val="11.0"/>
      <color theme="1"/>
      <name val="Calibri"/>
    </font>
    <font>
      <b/>
      <i/>
      <sz val="11.0"/>
      <color theme="1"/>
      <name val="Calibri"/>
    </font>
    <font>
      <sz val="14.0"/>
      <color theme="1"/>
      <name val="Calibri"/>
    </font>
    <font>
      <sz val="11.0"/>
      <color rgb="FFFF0000"/>
      <name val="Arial"/>
    </font>
    <font>
      <b/>
      <sz val="13.0"/>
      <color theme="1"/>
      <name val="Calibri"/>
    </font>
    <font>
      <strike/>
      <sz val="11.0"/>
      <color theme="1"/>
      <name val="Calibri"/>
    </font>
    <font>
      <b/>
      <sz val="10.0"/>
      <color theme="1"/>
      <name val="Calibri"/>
    </font>
    <font>
      <b/>
      <sz val="8.0"/>
      <color theme="1"/>
      <name val="Calibri"/>
    </font>
    <font>
      <u/>
      <sz val="11.0"/>
      <color theme="10"/>
      <name val="Calibri"/>
    </font>
    <font>
      <color theme="1"/>
      <name val="Calibri"/>
    </font>
  </fonts>
  <fills count="17">
    <fill>
      <patternFill patternType="none"/>
    </fill>
    <fill>
      <patternFill patternType="lightGray"/>
    </fill>
    <fill>
      <patternFill patternType="solid">
        <fgColor rgb="FFDBE5F1"/>
        <bgColor rgb="FFDBE5F1"/>
      </patternFill>
    </fill>
    <fill>
      <patternFill patternType="solid">
        <fgColor rgb="FF00FF00"/>
        <bgColor rgb="FF00FF00"/>
      </patternFill>
    </fill>
    <fill>
      <patternFill patternType="solid">
        <fgColor rgb="FFD5A6BD"/>
        <bgColor rgb="FFD5A6BD"/>
      </patternFill>
    </fill>
    <fill>
      <patternFill patternType="solid">
        <fgColor rgb="FFFFFF00"/>
        <bgColor rgb="FFFFFF00"/>
      </patternFill>
    </fill>
    <fill>
      <patternFill patternType="solid">
        <fgColor rgb="FFB6DDE8"/>
        <bgColor rgb="FFB6DDE8"/>
      </patternFill>
    </fill>
    <fill>
      <patternFill patternType="solid">
        <fgColor rgb="FFE1FAFF"/>
        <bgColor rgb="FFE1FAFF"/>
      </patternFill>
    </fill>
    <fill>
      <patternFill patternType="solid">
        <fgColor rgb="FFD8D8D8"/>
        <bgColor rgb="FFD8D8D8"/>
      </patternFill>
    </fill>
    <fill>
      <patternFill patternType="solid">
        <fgColor rgb="FFFFFFFF"/>
        <bgColor rgb="FFFFFFFF"/>
      </patternFill>
    </fill>
    <fill>
      <patternFill patternType="solid">
        <fgColor theme="0"/>
        <bgColor theme="0"/>
      </patternFill>
    </fill>
    <fill>
      <patternFill patternType="solid">
        <fgColor rgb="FFB8CCE4"/>
        <bgColor rgb="FFB8CCE4"/>
      </patternFill>
    </fill>
    <fill>
      <patternFill patternType="solid">
        <fgColor rgb="FFDAEEF3"/>
        <bgColor rgb="FFDAEEF3"/>
      </patternFill>
    </fill>
    <fill>
      <patternFill patternType="solid">
        <fgColor rgb="FFF2F2F2"/>
        <bgColor rgb="FFF2F2F2"/>
      </patternFill>
    </fill>
    <fill>
      <patternFill patternType="solid">
        <fgColor rgb="FFDCE6F1"/>
        <bgColor rgb="FFDCE6F1"/>
      </patternFill>
    </fill>
    <fill>
      <patternFill patternType="solid">
        <fgColor rgb="FFFBD4B4"/>
        <bgColor rgb="FFFBD4B4"/>
      </patternFill>
    </fill>
    <fill>
      <patternFill patternType="solid">
        <fgColor rgb="FF000000"/>
        <bgColor rgb="FF000000"/>
      </patternFill>
    </fill>
  </fills>
  <borders count="35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left style="thin">
        <color rgb="FF000000"/>
      </left>
      <right/>
      <top style="thin">
        <color rgb="FF000000"/>
      </top>
      <bottom/>
    </border>
    <border>
      <left style="thin">
        <color rgb="FF000000"/>
      </left>
      <right/>
      <top/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/>
      <right/>
      <top style="thin">
        <color rgb="FF000000"/>
      </top>
      <bottom style="thin">
        <color rgb="FF000000"/>
      </bottom>
    </border>
    <border>
      <left style="thin">
        <color rgb="FFC0504D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theme="1"/>
      </left>
      <right/>
      <top style="thin">
        <color theme="1"/>
      </top>
      <bottom style="thin">
        <color rgb="FF000000"/>
      </bottom>
    </border>
    <border>
      <left style="thin">
        <color theme="1"/>
      </left>
      <right/>
      <top/>
      <bottom style="thin">
        <color theme="1"/>
      </bottom>
    </border>
    <border>
      <left style="thin">
        <color theme="1"/>
      </left>
      <right style="thin">
        <color rgb="FF000000"/>
      </right>
      <top/>
      <bottom style="thin">
        <color theme="1"/>
      </bottom>
    </border>
    <border>
      <left style="thin">
        <color theme="1"/>
      </left>
      <right/>
      <top style="thin">
        <color theme="1"/>
      </top>
      <bottom style="thin">
        <color theme="1"/>
      </bottom>
    </border>
    <border>
      <left style="thin">
        <color theme="1"/>
      </left>
      <right style="thin">
        <color rgb="FF000000"/>
      </right>
      <top style="thin">
        <color theme="1"/>
      </top>
      <bottom style="thin">
        <color theme="1"/>
      </bottom>
    </border>
    <border>
      <left style="thin">
        <color theme="1"/>
      </left>
      <right/>
      <top style="thin">
        <color theme="1"/>
      </top>
      <bottom/>
    </border>
    <border>
      <left style="thin">
        <color theme="1"/>
      </left>
      <right style="thin">
        <color rgb="FF000000"/>
      </right>
      <top style="thin">
        <color theme="1"/>
      </top>
      <bottom/>
    </border>
    <border>
      <left style="thin">
        <color theme="1"/>
      </left>
      <right/>
      <top style="thin">
        <color rgb="FF000000"/>
      </top>
      <bottom style="thin">
        <color rgb="FF000000"/>
      </bottom>
    </border>
    <border>
      <left style="thin">
        <color theme="1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left style="thin">
        <color rgb="FF000000"/>
      </left>
      <top style="thin">
        <color rgb="FF000000"/>
      </top>
    </border>
    <border>
      <top style="thin">
        <color rgb="FF000000"/>
      </top>
    </border>
    <border>
      <right style="thin">
        <color rgb="FF000000"/>
      </right>
      <top style="thin">
        <color rgb="FF000000"/>
      </top>
    </border>
    <border>
      <left style="thin">
        <color rgb="FF000000"/>
      </left>
      <bottom style="thin">
        <color rgb="FF000000"/>
      </bottom>
    </border>
    <border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  <border>
      <top style="thin">
        <color rgb="FFC0504D"/>
      </top>
    </border>
    <border>
      <left style="thin">
        <color rgb="FFC0504D"/>
      </left>
      <right style="thin">
        <color rgb="FF000000"/>
      </right>
      <top style="thin">
        <color rgb="FF000000"/>
      </top>
    </border>
    <border>
      <right style="thin">
        <color rgb="FF000000"/>
      </right>
    </border>
    <border>
      <left style="thin">
        <color rgb="FF000000"/>
      </left>
      <right style="thin">
        <color rgb="FF000000"/>
      </right>
    </border>
    <border>
      <top style="thin">
        <color rgb="FFC0504D"/>
      </top>
      <bottom style="thin">
        <color rgb="FF000000"/>
      </bottom>
    </border>
    <border>
      <left/>
      <right style="thin">
        <color rgb="FF000000"/>
      </right>
      <top/>
      <bottom style="thin">
        <color rgb="FF000000"/>
      </bottom>
    </border>
  </borders>
  <cellStyleXfs count="1">
    <xf borderId="0" fillId="0" fontId="0" numFmtId="0" applyAlignment="1" applyFont="1"/>
  </cellStyleXfs>
  <cellXfs count="223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vertical="center"/>
    </xf>
    <xf borderId="0" fillId="0" fontId="2" numFmtId="0" xfId="0" applyAlignment="1" applyFont="1">
      <alignment vertical="center"/>
    </xf>
    <xf borderId="1" fillId="2" fontId="1" numFmtId="0" xfId="0" applyAlignment="1" applyBorder="1" applyFill="1" applyFont="1">
      <alignment horizontal="center" shrinkToFit="0" vertical="center" wrapText="1"/>
    </xf>
    <xf borderId="1" fillId="2" fontId="1" numFmtId="0" xfId="0" applyAlignment="1" applyBorder="1" applyFont="1">
      <alignment vertical="center"/>
    </xf>
    <xf borderId="1" fillId="3" fontId="1" numFmtId="4" xfId="0" applyAlignment="1" applyBorder="1" applyFill="1" applyFont="1" applyNumberFormat="1">
      <alignment vertical="center"/>
    </xf>
    <xf borderId="1" fillId="0" fontId="3" numFmtId="2" xfId="0" applyAlignment="1" applyBorder="1" applyFont="1" applyNumberFormat="1">
      <alignment horizontal="center" shrinkToFit="0" wrapText="0"/>
    </xf>
    <xf borderId="1" fillId="0" fontId="1" numFmtId="0" xfId="0" applyAlignment="1" applyBorder="1" applyFont="1">
      <alignment vertical="center"/>
    </xf>
    <xf borderId="1" fillId="4" fontId="4" numFmtId="0" xfId="0" applyAlignment="1" applyBorder="1" applyFill="1" applyFont="1">
      <alignment horizontal="center" vertical="center"/>
    </xf>
    <xf borderId="1" fillId="0" fontId="1" numFmtId="4" xfId="0" applyAlignment="1" applyBorder="1" applyFont="1" applyNumberFormat="1">
      <alignment horizontal="center" vertical="center"/>
    </xf>
    <xf borderId="1" fillId="0" fontId="1" numFmtId="0" xfId="0" applyAlignment="1" applyBorder="1" applyFont="1">
      <alignment horizontal="center" vertical="center"/>
    </xf>
    <xf borderId="1" fillId="5" fontId="1" numFmtId="3" xfId="0" applyAlignment="1" applyBorder="1" applyFill="1" applyFont="1" applyNumberFormat="1">
      <alignment horizontal="center" vertical="center"/>
    </xf>
    <xf borderId="1" fillId="5" fontId="1" numFmtId="0" xfId="0" applyAlignment="1" applyBorder="1" applyFont="1">
      <alignment vertical="center"/>
    </xf>
    <xf borderId="1" fillId="3" fontId="1" numFmtId="4" xfId="0" applyAlignment="1" applyBorder="1" applyFont="1" applyNumberFormat="1">
      <alignment readingOrder="0" vertical="center"/>
    </xf>
    <xf borderId="1" fillId="2" fontId="1" numFmtId="0" xfId="0" applyAlignment="1" applyBorder="1" applyFont="1">
      <alignment readingOrder="0" vertical="center"/>
    </xf>
    <xf borderId="0" fillId="0" fontId="1" numFmtId="164" xfId="0" applyAlignment="1" applyFont="1" applyNumberFormat="1">
      <alignment vertical="center"/>
    </xf>
    <xf borderId="0" fillId="0" fontId="5" numFmtId="0" xfId="0" applyAlignment="1" applyFont="1">
      <alignment shrinkToFit="0" vertical="center" wrapText="1"/>
    </xf>
    <xf borderId="0" fillId="0" fontId="1" numFmtId="0" xfId="0" applyAlignment="1" applyFont="1">
      <alignment shrinkToFit="0" vertical="center" wrapText="1"/>
    </xf>
    <xf borderId="0" fillId="0" fontId="4" numFmtId="0" xfId="0" applyAlignment="1" applyFont="1">
      <alignment shrinkToFit="0" vertical="center" wrapText="1"/>
    </xf>
    <xf borderId="0" fillId="0" fontId="3" numFmtId="0" xfId="0" applyAlignment="1" applyFont="1">
      <alignment horizontal="left" shrinkToFit="0" vertical="center" wrapText="1"/>
    </xf>
    <xf borderId="0" fillId="0" fontId="6" numFmtId="0" xfId="0" applyAlignment="1" applyFont="1">
      <alignment shrinkToFit="0" vertical="center" wrapText="1"/>
    </xf>
    <xf borderId="1" fillId="0" fontId="6" numFmtId="0" xfId="0" applyAlignment="1" applyBorder="1" applyFont="1">
      <alignment shrinkToFit="0" vertical="center" wrapText="1"/>
    </xf>
    <xf borderId="0" fillId="0" fontId="6" numFmtId="0" xfId="0" applyAlignment="1" applyFont="1">
      <alignment vertical="center"/>
    </xf>
    <xf borderId="0" fillId="0" fontId="1" numFmtId="0" xfId="0" applyAlignment="1" applyFont="1">
      <alignment horizontal="right" vertical="center"/>
    </xf>
    <xf borderId="0" fillId="0" fontId="7" numFmtId="14" xfId="0" applyAlignment="1" applyFont="1" applyNumberFormat="1">
      <alignment horizontal="center" vertical="center"/>
    </xf>
    <xf borderId="2" fillId="6" fontId="1" numFmtId="0" xfId="0" applyAlignment="1" applyBorder="1" applyFill="1" applyFont="1">
      <alignment shrinkToFit="0" vertical="center" wrapText="1"/>
    </xf>
    <xf borderId="1" fillId="6" fontId="1" numFmtId="0" xfId="0" applyAlignment="1" applyBorder="1" applyFont="1">
      <alignment vertical="center"/>
    </xf>
    <xf borderId="2" fillId="7" fontId="1" numFmtId="0" xfId="0" applyAlignment="1" applyBorder="1" applyFill="1" applyFont="1">
      <alignment shrinkToFit="0" vertical="center" wrapText="1"/>
    </xf>
    <xf borderId="1" fillId="8" fontId="1" numFmtId="165" xfId="0" applyAlignment="1" applyBorder="1" applyFill="1" applyFont="1" applyNumberFormat="1">
      <alignment horizontal="center" vertical="center"/>
    </xf>
    <xf borderId="1" fillId="8" fontId="1" numFmtId="166" xfId="0" applyAlignment="1" applyBorder="1" applyFont="1" applyNumberFormat="1">
      <alignment horizontal="center" vertical="center"/>
    </xf>
    <xf borderId="1" fillId="8" fontId="1" numFmtId="167" xfId="0" applyAlignment="1" applyBorder="1" applyFont="1" applyNumberFormat="1">
      <alignment horizontal="center" vertical="center"/>
    </xf>
    <xf borderId="1" fillId="8" fontId="1" numFmtId="168" xfId="0" applyAlignment="1" applyBorder="1" applyFont="1" applyNumberFormat="1">
      <alignment vertical="center"/>
    </xf>
    <xf borderId="2" fillId="7" fontId="1" numFmtId="0" xfId="0" applyAlignment="1" applyBorder="1" applyFont="1">
      <alignment horizontal="left" shrinkToFit="0" vertical="center" wrapText="1"/>
    </xf>
    <xf borderId="0" fillId="0" fontId="1" numFmtId="0" xfId="0" applyAlignment="1" applyFont="1">
      <alignment horizontal="left" vertical="center"/>
    </xf>
    <xf borderId="1" fillId="0" fontId="1" numFmtId="10" xfId="0" applyAlignment="1" applyBorder="1" applyFont="1" applyNumberFormat="1">
      <alignment vertical="center"/>
    </xf>
    <xf borderId="3" fillId="7" fontId="1" numFmtId="0" xfId="0" applyAlignment="1" applyBorder="1" applyFont="1">
      <alignment shrinkToFit="0" vertical="center" wrapText="1"/>
    </xf>
    <xf borderId="4" fillId="7" fontId="1" numFmtId="0" xfId="0" applyAlignment="1" applyBorder="1" applyFont="1">
      <alignment shrinkToFit="0" vertical="center" wrapText="1"/>
    </xf>
    <xf borderId="1" fillId="8" fontId="1" numFmtId="169" xfId="0" applyAlignment="1" applyBorder="1" applyFont="1" applyNumberFormat="1">
      <alignment vertical="center"/>
    </xf>
    <xf borderId="1" fillId="8" fontId="4" numFmtId="168" xfId="0" applyAlignment="1" applyBorder="1" applyFont="1" applyNumberFormat="1">
      <alignment vertical="center"/>
    </xf>
    <xf borderId="0" fillId="0" fontId="4" numFmtId="170" xfId="0" applyAlignment="1" applyFont="1" applyNumberFormat="1">
      <alignment vertical="center"/>
    </xf>
    <xf borderId="1" fillId="0" fontId="1" numFmtId="171" xfId="0" applyAlignment="1" applyBorder="1" applyFont="1" applyNumberFormat="1">
      <alignment horizontal="center" vertical="center"/>
    </xf>
    <xf borderId="5" fillId="0" fontId="8" numFmtId="0" xfId="0" applyAlignment="1" applyBorder="1" applyFont="1">
      <alignment horizontal="left" vertical="center"/>
    </xf>
    <xf borderId="6" fillId="0" fontId="9" numFmtId="0" xfId="0" applyBorder="1" applyFont="1"/>
    <xf borderId="7" fillId="0" fontId="9" numFmtId="0" xfId="0" applyBorder="1" applyFont="1"/>
    <xf borderId="0" fillId="0" fontId="1" numFmtId="14" xfId="0" applyAlignment="1" applyFont="1" applyNumberFormat="1">
      <alignment vertical="center"/>
    </xf>
    <xf borderId="1" fillId="7" fontId="1" numFmtId="0" xfId="0" applyAlignment="1" applyBorder="1" applyFont="1">
      <alignment horizontal="center" vertical="center"/>
    </xf>
    <xf borderId="1" fillId="7" fontId="4" numFmtId="0" xfId="0" applyAlignment="1" applyBorder="1" applyFont="1">
      <alignment horizontal="center" shrinkToFit="0" vertical="center" wrapText="1"/>
    </xf>
    <xf borderId="1" fillId="7" fontId="4" numFmtId="0" xfId="0" applyAlignment="1" applyBorder="1" applyFont="1">
      <alignment horizontal="center" vertical="center"/>
    </xf>
    <xf borderId="2" fillId="7" fontId="4" numFmtId="0" xfId="0" applyAlignment="1" applyBorder="1" applyFont="1">
      <alignment horizontal="center" shrinkToFit="0" vertical="center" wrapText="1"/>
    </xf>
    <xf borderId="2" fillId="6" fontId="4" numFmtId="0" xfId="0" applyAlignment="1" applyBorder="1" applyFont="1">
      <alignment horizontal="center" shrinkToFit="0" vertical="center" wrapText="1"/>
    </xf>
    <xf borderId="8" fillId="6" fontId="1" numFmtId="0" xfId="0" applyAlignment="1" applyBorder="1" applyFont="1">
      <alignment vertical="center"/>
    </xf>
    <xf borderId="1" fillId="0" fontId="1" numFmtId="0" xfId="0" applyAlignment="1" applyBorder="1" applyFont="1">
      <alignment horizontal="center" shrinkToFit="0" vertical="center" wrapText="1"/>
    </xf>
    <xf borderId="9" fillId="9" fontId="1" numFmtId="0" xfId="0" applyAlignment="1" applyBorder="1" applyFill="1" applyFont="1">
      <alignment horizontal="left"/>
    </xf>
    <xf borderId="1" fillId="10" fontId="1" numFmtId="164" xfId="0" applyAlignment="1" applyBorder="1" applyFill="1" applyFont="1" applyNumberFormat="1">
      <alignment shrinkToFit="0" vertical="center" wrapText="1"/>
    </xf>
    <xf borderId="1" fillId="9" fontId="1" numFmtId="4" xfId="0" applyAlignment="1" applyBorder="1" applyFont="1" applyNumberFormat="1">
      <alignment horizontal="right" shrinkToFit="0" wrapText="0"/>
    </xf>
    <xf borderId="1" fillId="0" fontId="1" numFmtId="167" xfId="0" applyAlignment="1" applyBorder="1" applyFont="1" applyNumberFormat="1">
      <alignment shrinkToFit="0" vertical="center" wrapText="1"/>
    </xf>
    <xf borderId="1" fillId="0" fontId="1" numFmtId="0" xfId="0" applyAlignment="1" applyBorder="1" applyFont="1">
      <alignment horizontal="left" shrinkToFit="0" vertical="center" wrapText="1"/>
    </xf>
    <xf borderId="1" fillId="0" fontId="1" numFmtId="164" xfId="0" applyAlignment="1" applyBorder="1" applyFont="1" applyNumberFormat="1">
      <alignment shrinkToFit="0" vertical="center" wrapText="1"/>
    </xf>
    <xf borderId="1" fillId="0" fontId="10" numFmtId="0" xfId="0" applyAlignment="1" applyBorder="1" applyFont="1">
      <alignment horizontal="center"/>
    </xf>
    <xf borderId="1" fillId="0" fontId="11" numFmtId="0" xfId="0" applyAlignment="1" applyBorder="1" applyFont="1">
      <alignment horizontal="center"/>
    </xf>
    <xf borderId="1" fillId="10" fontId="1" numFmtId="0" xfId="0" applyAlignment="1" applyBorder="1" applyFont="1">
      <alignment horizontal="left" shrinkToFit="0" vertical="center" wrapText="1"/>
    </xf>
    <xf borderId="10" fillId="10" fontId="1" numFmtId="0" xfId="0" applyAlignment="1" applyBorder="1" applyFont="1">
      <alignment horizontal="left" shrinkToFit="0" vertical="center" wrapText="1"/>
    </xf>
    <xf borderId="1" fillId="11" fontId="1" numFmtId="0" xfId="0" applyAlignment="1" applyBorder="1" applyFill="1" applyFont="1">
      <alignment horizontal="left" shrinkToFit="0" vertical="center" wrapText="1"/>
    </xf>
    <xf borderId="1" fillId="10" fontId="1" numFmtId="0" xfId="0" applyAlignment="1" applyBorder="1" applyFont="1">
      <alignment horizontal="left" shrinkToFit="0" vertical="center" wrapText="1"/>
    </xf>
    <xf borderId="1" fillId="10" fontId="1" numFmtId="164" xfId="0" applyAlignment="1" applyBorder="1" applyFont="1" applyNumberFormat="1">
      <alignment shrinkToFit="0" vertical="center" wrapText="1"/>
    </xf>
    <xf borderId="1" fillId="11" fontId="1" numFmtId="0" xfId="0" applyAlignment="1" applyBorder="1" applyFont="1">
      <alignment horizontal="left" shrinkToFit="0" vertical="center" wrapText="1"/>
    </xf>
    <xf borderId="1" fillId="10" fontId="1" numFmtId="164" xfId="0" applyAlignment="1" applyBorder="1" applyFont="1" applyNumberFormat="1">
      <alignment vertical="center"/>
    </xf>
    <xf borderId="1" fillId="0" fontId="12" numFmtId="0" xfId="0" applyAlignment="1" applyBorder="1" applyFont="1">
      <alignment vertical="center"/>
    </xf>
    <xf borderId="1" fillId="0" fontId="13" numFmtId="4" xfId="0" applyAlignment="1" applyBorder="1" applyFont="1" applyNumberFormat="1">
      <alignment vertical="center"/>
    </xf>
    <xf borderId="11" fillId="10" fontId="1" numFmtId="0" xfId="0" applyAlignment="1" applyBorder="1" applyFont="1">
      <alignment horizontal="left" shrinkToFit="0" vertical="center" wrapText="1"/>
    </xf>
    <xf borderId="12" fillId="10" fontId="1" numFmtId="4" xfId="0" applyAlignment="1" applyBorder="1" applyFont="1" applyNumberFormat="1">
      <alignment shrinkToFit="0" vertical="center" wrapText="1"/>
    </xf>
    <xf borderId="13" fillId="10" fontId="1" numFmtId="0" xfId="0" applyAlignment="1" applyBorder="1" applyFont="1">
      <alignment horizontal="left" shrinkToFit="0" vertical="center" wrapText="1"/>
    </xf>
    <xf borderId="14" fillId="10" fontId="1" numFmtId="4" xfId="0" applyAlignment="1" applyBorder="1" applyFont="1" applyNumberFormat="1">
      <alignment shrinkToFit="0" vertical="center" wrapText="1"/>
    </xf>
    <xf borderId="15" fillId="10" fontId="1" numFmtId="0" xfId="0" applyAlignment="1" applyBorder="1" applyFont="1">
      <alignment horizontal="left" shrinkToFit="0" vertical="center" wrapText="1"/>
    </xf>
    <xf borderId="16" fillId="10" fontId="1" numFmtId="4" xfId="0" applyAlignment="1" applyBorder="1" applyFont="1" applyNumberFormat="1">
      <alignment shrinkToFit="0" vertical="center" wrapText="1"/>
    </xf>
    <xf borderId="17" fillId="10" fontId="1" numFmtId="0" xfId="0" applyAlignment="1" applyBorder="1" applyFont="1">
      <alignment horizontal="left" shrinkToFit="0" vertical="center" wrapText="1"/>
    </xf>
    <xf borderId="18" fillId="10" fontId="1" numFmtId="4" xfId="0" applyAlignment="1" applyBorder="1" applyFont="1" applyNumberFormat="1">
      <alignment shrinkToFit="0" vertical="center" wrapText="1"/>
    </xf>
    <xf borderId="1" fillId="0" fontId="1" numFmtId="4" xfId="0" applyAlignment="1" applyBorder="1" applyFont="1" applyNumberFormat="1">
      <alignment shrinkToFit="0" vertical="center" wrapText="1"/>
    </xf>
    <xf borderId="1" fillId="0" fontId="1" numFmtId="4" xfId="0" applyAlignment="1" applyBorder="1" applyFont="1" applyNumberFormat="1">
      <alignment vertical="center"/>
    </xf>
    <xf borderId="1" fillId="0" fontId="1" numFmtId="167" xfId="0" applyAlignment="1" applyBorder="1" applyFont="1" applyNumberFormat="1">
      <alignment vertical="center"/>
    </xf>
    <xf borderId="0" fillId="0" fontId="1" numFmtId="0" xfId="0" applyAlignment="1" applyFont="1">
      <alignment shrinkToFit="0" vertical="center" wrapText="1"/>
    </xf>
    <xf borderId="1" fillId="0" fontId="1" numFmtId="0" xfId="0" applyAlignment="1" applyBorder="1" applyFont="1">
      <alignment horizontal="left" shrinkToFit="0" vertical="center" wrapText="1"/>
    </xf>
    <xf borderId="1" fillId="0" fontId="1" numFmtId="164" xfId="0" applyAlignment="1" applyBorder="1" applyFont="1" applyNumberFormat="1">
      <alignment shrinkToFit="0" vertical="center" wrapText="1"/>
    </xf>
    <xf borderId="19" fillId="0" fontId="1" numFmtId="0" xfId="0" applyAlignment="1" applyBorder="1" applyFont="1">
      <alignment horizontal="left" shrinkToFit="0" vertical="center" wrapText="1"/>
    </xf>
    <xf borderId="20" fillId="10" fontId="1" numFmtId="164" xfId="0" applyAlignment="1" applyBorder="1" applyFont="1" applyNumberFormat="1">
      <alignment shrinkToFit="0" vertical="center" wrapText="1"/>
    </xf>
    <xf borderId="1" fillId="0" fontId="12" numFmtId="0" xfId="0" applyAlignment="1" applyBorder="1" applyFont="1">
      <alignment shrinkToFit="0" vertical="center" wrapText="1"/>
    </xf>
    <xf borderId="1" fillId="0" fontId="12" numFmtId="164" xfId="0" applyAlignment="1" applyBorder="1" applyFont="1" applyNumberFormat="1">
      <alignment vertical="center"/>
    </xf>
    <xf borderId="1" fillId="0" fontId="4" numFmtId="0" xfId="0" applyAlignment="1" applyBorder="1" applyFont="1">
      <alignment horizontal="center" vertical="center"/>
    </xf>
    <xf borderId="1" fillId="0" fontId="4" numFmtId="164" xfId="0" applyAlignment="1" applyBorder="1" applyFont="1" applyNumberFormat="1">
      <alignment vertical="center"/>
    </xf>
    <xf borderId="0" fillId="0" fontId="5" numFmtId="0" xfId="0" applyAlignment="1" applyFont="1">
      <alignment vertical="center"/>
    </xf>
    <xf borderId="0" fillId="0" fontId="4" numFmtId="0" xfId="0" applyAlignment="1" applyFont="1">
      <alignment horizontal="right" vertical="center"/>
    </xf>
    <xf borderId="0" fillId="0" fontId="4" numFmtId="0" xfId="0" applyAlignment="1" applyFont="1">
      <alignment vertical="center"/>
    </xf>
    <xf borderId="0" fillId="0" fontId="4" numFmtId="0" xfId="0" applyAlignment="1" applyFont="1">
      <alignment horizontal="center" vertical="center"/>
    </xf>
    <xf borderId="5" fillId="2" fontId="1" numFmtId="0" xfId="0" applyAlignment="1" applyBorder="1" applyFont="1">
      <alignment vertical="center"/>
    </xf>
    <xf borderId="1" fillId="2" fontId="1" numFmtId="168" xfId="0" applyAlignment="1" applyBorder="1" applyFont="1" applyNumberFormat="1">
      <alignment horizontal="center" shrinkToFit="0" vertical="center" wrapText="1"/>
    </xf>
    <xf borderId="0" fillId="0" fontId="6" numFmtId="0" xfId="0" applyAlignment="1" applyFont="1">
      <alignment horizontal="center" vertical="center"/>
    </xf>
    <xf borderId="5" fillId="2" fontId="1" numFmtId="0" xfId="0" applyAlignment="1" applyBorder="1" applyFont="1">
      <alignment horizontal="left" vertical="center"/>
    </xf>
    <xf borderId="5" fillId="0" fontId="1" numFmtId="0" xfId="0" applyAlignment="1" applyBorder="1" applyFont="1">
      <alignment horizontal="left" vertical="center"/>
    </xf>
    <xf borderId="1" fillId="0" fontId="1" numFmtId="172" xfId="0" applyAlignment="1" applyBorder="1" applyFont="1" applyNumberFormat="1">
      <alignment horizontal="center" vertical="center"/>
    </xf>
    <xf borderId="1" fillId="0" fontId="1" numFmtId="10" xfId="0" applyAlignment="1" applyBorder="1" applyFont="1" applyNumberFormat="1">
      <alignment horizontal="center" vertical="center"/>
    </xf>
    <xf borderId="1" fillId="0" fontId="1" numFmtId="167" xfId="0" applyAlignment="1" applyBorder="1" applyFont="1" applyNumberFormat="1">
      <alignment horizontal="center" vertical="center"/>
    </xf>
    <xf borderId="21" fillId="0" fontId="1" numFmtId="0" xfId="0" applyAlignment="1" applyBorder="1" applyFont="1">
      <alignment horizontal="left" vertical="center"/>
    </xf>
    <xf borderId="22" fillId="0" fontId="9" numFmtId="0" xfId="0" applyBorder="1" applyFont="1"/>
    <xf borderId="23" fillId="0" fontId="9" numFmtId="0" xfId="0" applyBorder="1" applyFont="1"/>
    <xf borderId="19" fillId="0" fontId="1" numFmtId="0" xfId="0" applyAlignment="1" applyBorder="1" applyFont="1">
      <alignment horizontal="center" vertical="center"/>
    </xf>
    <xf borderId="0" fillId="0" fontId="1" numFmtId="10" xfId="0" applyAlignment="1" applyFont="1" applyNumberFormat="1">
      <alignment vertical="center"/>
    </xf>
    <xf borderId="24" fillId="0" fontId="1" numFmtId="0" xfId="0" applyAlignment="1" applyBorder="1" applyFont="1">
      <alignment horizontal="left" vertical="center"/>
    </xf>
    <xf borderId="25" fillId="0" fontId="9" numFmtId="0" xfId="0" applyBorder="1" applyFont="1"/>
    <xf borderId="26" fillId="0" fontId="9" numFmtId="0" xfId="0" applyBorder="1" applyFont="1"/>
    <xf borderId="27" fillId="0" fontId="1" numFmtId="3" xfId="0" applyAlignment="1" applyBorder="1" applyFont="1" applyNumberFormat="1">
      <alignment horizontal="center" vertical="center"/>
    </xf>
    <xf borderId="1" fillId="0" fontId="1" numFmtId="0" xfId="0" applyAlignment="1" applyBorder="1" applyFont="1">
      <alignment horizontal="left" vertical="center"/>
    </xf>
    <xf borderId="0" fillId="0" fontId="1" numFmtId="9" xfId="0" applyAlignment="1" applyFont="1" applyNumberFormat="1">
      <alignment vertical="center"/>
    </xf>
    <xf borderId="1" fillId="0" fontId="1" numFmtId="3" xfId="0" applyAlignment="1" applyBorder="1" applyFont="1" applyNumberFormat="1">
      <alignment horizontal="center" vertical="center"/>
    </xf>
    <xf borderId="0" fillId="0" fontId="4" numFmtId="0" xfId="0" applyAlignment="1" applyFont="1">
      <alignment horizontal="left" vertical="center"/>
    </xf>
    <xf borderId="0" fillId="0" fontId="1" numFmtId="0" xfId="0" applyAlignment="1" applyFont="1">
      <alignment horizontal="left" shrinkToFit="0" vertical="center" wrapText="1"/>
    </xf>
    <xf borderId="0" fillId="0" fontId="1" numFmtId="2" xfId="0" applyAlignment="1" applyFont="1" applyNumberFormat="1">
      <alignment vertical="center"/>
    </xf>
    <xf borderId="0" fillId="0" fontId="14" numFmtId="0" xfId="0" applyAlignment="1" applyFont="1">
      <alignment vertical="center"/>
    </xf>
    <xf borderId="1" fillId="6" fontId="15" numFmtId="0" xfId="0" applyAlignment="1" applyBorder="1" applyFont="1">
      <alignment vertical="center"/>
    </xf>
    <xf borderId="5" fillId="6" fontId="4" numFmtId="0" xfId="0" applyAlignment="1" applyBorder="1" applyFont="1">
      <alignment horizontal="left" vertical="center"/>
    </xf>
    <xf borderId="5" fillId="6" fontId="1" numFmtId="0" xfId="0" applyAlignment="1" applyBorder="1" applyFont="1">
      <alignment horizontal="center" vertical="center"/>
    </xf>
    <xf borderId="1" fillId="0" fontId="15" numFmtId="0" xfId="0" applyAlignment="1" applyBorder="1" applyFont="1">
      <alignment horizontal="center" vertical="center"/>
    </xf>
    <xf borderId="5" fillId="12" fontId="1" numFmtId="0" xfId="0" applyAlignment="1" applyBorder="1" applyFill="1" applyFont="1">
      <alignment horizontal="left" vertical="center"/>
    </xf>
    <xf borderId="5" fillId="13" fontId="1" numFmtId="170" xfId="0" applyAlignment="1" applyBorder="1" applyFill="1" applyFont="1" applyNumberFormat="1">
      <alignment horizontal="right" vertical="center"/>
    </xf>
    <xf quotePrefix="1" borderId="1" fillId="0" fontId="15" numFmtId="0" xfId="0" applyAlignment="1" applyBorder="1" applyFont="1">
      <alignment horizontal="center" vertical="center"/>
    </xf>
    <xf borderId="5" fillId="12" fontId="4" numFmtId="0" xfId="0" applyAlignment="1" applyBorder="1" applyFont="1">
      <alignment horizontal="left" vertical="center"/>
    </xf>
    <xf borderId="5" fillId="13" fontId="4" numFmtId="170" xfId="0" applyAlignment="1" applyBorder="1" applyFont="1" applyNumberFormat="1">
      <alignment horizontal="right" vertical="center"/>
    </xf>
    <xf borderId="0" fillId="0" fontId="1" numFmtId="0" xfId="0" applyAlignment="1" applyFont="1">
      <alignment horizontal="center" vertical="center"/>
    </xf>
    <xf borderId="0" fillId="0" fontId="16" numFmtId="0" xfId="0" applyAlignment="1" applyFont="1">
      <alignment horizontal="right" vertical="center"/>
    </xf>
    <xf borderId="0" fillId="0" fontId="8" numFmtId="0" xfId="0" applyAlignment="1" applyFont="1">
      <alignment horizontal="left" vertical="center"/>
    </xf>
    <xf borderId="1" fillId="6" fontId="1" numFmtId="0" xfId="0" applyAlignment="1" applyBorder="1" applyFont="1">
      <alignment horizontal="center" shrinkToFit="0" vertical="center" wrapText="1"/>
    </xf>
    <xf borderId="1" fillId="6" fontId="1" numFmtId="0" xfId="0" applyAlignment="1" applyBorder="1" applyFont="1">
      <alignment horizontal="center" vertical="center"/>
    </xf>
    <xf borderId="1" fillId="8" fontId="1" numFmtId="2" xfId="0" applyAlignment="1" applyBorder="1" applyFont="1" applyNumberFormat="1">
      <alignment horizontal="center" vertical="center"/>
    </xf>
    <xf borderId="1" fillId="14" fontId="17" numFmtId="0" xfId="0" applyBorder="1" applyFill="1" applyFont="1"/>
    <xf borderId="1" fillId="8" fontId="1" numFmtId="0" xfId="0" applyAlignment="1" applyBorder="1" applyFont="1">
      <alignment horizontal="center" vertical="center"/>
    </xf>
    <xf borderId="1" fillId="14" fontId="11" numFmtId="173" xfId="0" applyAlignment="1" applyBorder="1" applyFont="1" applyNumberFormat="1">
      <alignment horizontal="center"/>
    </xf>
    <xf borderId="1" fillId="0" fontId="1" numFmtId="9" xfId="0" applyAlignment="1" applyBorder="1" applyFont="1" applyNumberFormat="1">
      <alignment horizontal="center" vertical="center"/>
    </xf>
    <xf borderId="1" fillId="14" fontId="17" numFmtId="173" xfId="0" applyAlignment="1" applyBorder="1" applyFont="1" applyNumberFormat="1">
      <alignment horizontal="center"/>
    </xf>
    <xf borderId="1" fillId="14" fontId="11" numFmtId="0" xfId="0" applyBorder="1" applyFont="1"/>
    <xf borderId="1" fillId="14" fontId="11" numFmtId="0" xfId="0" applyAlignment="1" applyBorder="1" applyFont="1">
      <alignment horizontal="center"/>
    </xf>
    <xf borderId="1" fillId="0" fontId="1" numFmtId="2" xfId="0" applyAlignment="1" applyBorder="1" applyFont="1" applyNumberFormat="1">
      <alignment horizontal="center" vertical="center"/>
    </xf>
    <xf borderId="1" fillId="0" fontId="1" numFmtId="173" xfId="0" applyAlignment="1" applyBorder="1" applyFont="1" applyNumberFormat="1">
      <alignment horizontal="center" vertical="center"/>
    </xf>
    <xf borderId="0" fillId="0" fontId="18" numFmtId="0" xfId="0" applyAlignment="1" applyFont="1">
      <alignment vertical="center"/>
    </xf>
    <xf borderId="0" fillId="0" fontId="1" numFmtId="0" xfId="0" applyAlignment="1" applyFont="1">
      <alignment horizontal="center" shrinkToFit="0" vertical="center" wrapText="1"/>
    </xf>
    <xf borderId="28" fillId="15" fontId="4" numFmtId="0" xfId="0" applyAlignment="1" applyBorder="1" applyFill="1" applyFont="1">
      <alignment horizontal="center" shrinkToFit="0" vertical="center" wrapText="1"/>
    </xf>
    <xf borderId="4" fillId="15" fontId="4" numFmtId="0" xfId="0" applyAlignment="1" applyBorder="1" applyFont="1">
      <alignment horizontal="center" shrinkToFit="0" vertical="center" wrapText="1"/>
    </xf>
    <xf borderId="9" fillId="9" fontId="3" numFmtId="0" xfId="0" applyAlignment="1" applyBorder="1" applyFont="1">
      <alignment horizontal="left"/>
    </xf>
    <xf borderId="1" fillId="9" fontId="3" numFmtId="0" xfId="0" applyAlignment="1" applyBorder="1" applyFont="1">
      <alignment horizontal="center" shrinkToFit="0" wrapText="1"/>
    </xf>
    <xf borderId="1" fillId="9" fontId="3" numFmtId="0" xfId="0" applyAlignment="1" applyBorder="1" applyFont="1">
      <alignment horizontal="center"/>
    </xf>
    <xf borderId="1" fillId="9" fontId="3" numFmtId="164" xfId="0" applyAlignment="1" applyBorder="1" applyFont="1" applyNumberFormat="1">
      <alignment horizontal="center" shrinkToFit="0" wrapText="0"/>
    </xf>
    <xf borderId="29" fillId="0" fontId="3" numFmtId="164" xfId="0" applyAlignment="1" applyBorder="1" applyFont="1" applyNumberFormat="1">
      <alignment horizontal="center" shrinkToFit="0" wrapText="0"/>
    </xf>
    <xf borderId="5" fillId="0" fontId="3" numFmtId="0" xfId="0" applyAlignment="1" applyBorder="1" applyFont="1">
      <alignment horizontal="center" shrinkToFit="0" vertical="center" wrapText="1"/>
    </xf>
    <xf borderId="29" fillId="9" fontId="3" numFmtId="164" xfId="0" applyAlignment="1" applyBorder="1" applyFont="1" applyNumberFormat="1">
      <alignment horizontal="center" shrinkToFit="0" wrapText="0"/>
    </xf>
    <xf borderId="1" fillId="9" fontId="3" numFmtId="4" xfId="0" applyAlignment="1" applyBorder="1" applyFont="1" applyNumberFormat="1">
      <alignment horizontal="center" shrinkToFit="0" wrapText="0"/>
    </xf>
    <xf borderId="9" fillId="9" fontId="1" numFmtId="0" xfId="0" applyAlignment="1" applyBorder="1" applyFont="1">
      <alignment horizontal="left"/>
    </xf>
    <xf borderId="1" fillId="9" fontId="1" numFmtId="0" xfId="0" applyAlignment="1" applyBorder="1" applyFont="1">
      <alignment horizontal="center" shrinkToFit="0" wrapText="1"/>
    </xf>
    <xf borderId="1" fillId="9" fontId="1" numFmtId="0" xfId="0" applyAlignment="1" applyBorder="1" applyFont="1">
      <alignment horizontal="center" shrinkToFit="0" wrapText="0"/>
    </xf>
    <xf borderId="1" fillId="9" fontId="1" numFmtId="4" xfId="0" applyAlignment="1" applyBorder="1" applyFont="1" applyNumberFormat="1">
      <alignment horizontal="center" shrinkToFit="0" wrapText="0"/>
    </xf>
    <xf borderId="1" fillId="9" fontId="1" numFmtId="164" xfId="0" applyAlignment="1" applyBorder="1" applyFont="1" applyNumberFormat="1">
      <alignment horizontal="center" shrinkToFit="0" wrapText="0"/>
    </xf>
    <xf borderId="1" fillId="16" fontId="7" numFmtId="0" xfId="0" applyAlignment="1" applyBorder="1" applyFill="1" applyFont="1">
      <alignment horizontal="center"/>
    </xf>
    <xf borderId="29" fillId="9" fontId="1" numFmtId="164" xfId="0" applyAlignment="1" applyBorder="1" applyFont="1" applyNumberFormat="1">
      <alignment horizontal="center" shrinkToFit="0" wrapText="0"/>
    </xf>
    <xf borderId="1" fillId="9" fontId="1" numFmtId="0" xfId="0" applyAlignment="1" applyBorder="1" applyFont="1">
      <alignment horizontal="center"/>
    </xf>
    <xf borderId="29" fillId="0" fontId="1" numFmtId="164" xfId="0" applyAlignment="1" applyBorder="1" applyFont="1" applyNumberFormat="1">
      <alignment horizontal="center" shrinkToFit="0" wrapText="0"/>
    </xf>
    <xf borderId="9" fillId="5" fontId="1" numFmtId="0" xfId="0" applyAlignment="1" applyBorder="1" applyFont="1">
      <alignment horizontal="left"/>
    </xf>
    <xf borderId="1" fillId="5" fontId="1" numFmtId="0" xfId="0" applyAlignment="1" applyBorder="1" applyFont="1">
      <alignment horizontal="center" shrinkToFit="0" wrapText="1"/>
    </xf>
    <xf borderId="1" fillId="5" fontId="1" numFmtId="0" xfId="0" applyAlignment="1" applyBorder="1" applyFont="1">
      <alignment horizontal="center" shrinkToFit="0" wrapText="0"/>
    </xf>
    <xf borderId="1" fillId="5" fontId="1" numFmtId="4" xfId="0" applyAlignment="1" applyBorder="1" applyFont="1" applyNumberFormat="1">
      <alignment horizontal="center" shrinkToFit="0" wrapText="0"/>
    </xf>
    <xf borderId="29" fillId="5" fontId="1" numFmtId="164" xfId="0" applyAlignment="1" applyBorder="1" applyFont="1" applyNumberFormat="1">
      <alignment horizontal="center" shrinkToFit="0" wrapText="0"/>
    </xf>
    <xf borderId="9" fillId="9" fontId="1" numFmtId="0" xfId="0" applyAlignment="1" applyBorder="1" applyFont="1">
      <alignment horizontal="left" shrinkToFit="0" wrapText="0"/>
    </xf>
    <xf borderId="9" fillId="9" fontId="1" numFmtId="0" xfId="0" applyAlignment="1" applyBorder="1" applyFont="1">
      <alignment shrinkToFit="0" wrapText="0"/>
    </xf>
    <xf borderId="1" fillId="0" fontId="1" numFmtId="0" xfId="0" applyAlignment="1" applyBorder="1" applyFont="1">
      <alignment horizontal="center" shrinkToFit="0" wrapText="1"/>
    </xf>
    <xf borderId="1" fillId="0" fontId="1" numFmtId="0" xfId="0" applyAlignment="1" applyBorder="1" applyFont="1">
      <alignment horizontal="center" shrinkToFit="0" wrapText="0"/>
    </xf>
    <xf borderId="9" fillId="9" fontId="4" numFmtId="0" xfId="0" applyAlignment="1" applyBorder="1" applyFont="1">
      <alignment horizontal="left"/>
    </xf>
    <xf borderId="1" fillId="9" fontId="4" numFmtId="0" xfId="0" applyAlignment="1" applyBorder="1" applyFont="1">
      <alignment horizontal="center" shrinkToFit="0" wrapText="1"/>
    </xf>
    <xf borderId="1" fillId="9" fontId="4" numFmtId="0" xfId="0" applyAlignment="1" applyBorder="1" applyFont="1">
      <alignment horizontal="center" shrinkToFit="0" wrapText="0"/>
    </xf>
    <xf borderId="1" fillId="9" fontId="4" numFmtId="164" xfId="0" applyAlignment="1" applyBorder="1" applyFont="1" applyNumberFormat="1">
      <alignment horizontal="center" shrinkToFit="0" wrapText="0"/>
    </xf>
    <xf borderId="29" fillId="5" fontId="3" numFmtId="164" xfId="0" applyAlignment="1" applyBorder="1" applyFont="1" applyNumberFormat="1">
      <alignment horizontal="center" shrinkToFit="0" wrapText="0"/>
    </xf>
    <xf borderId="9" fillId="9" fontId="1" numFmtId="0" xfId="0" applyAlignment="1" applyBorder="1" applyFont="1">
      <alignment vertical="top"/>
    </xf>
    <xf borderId="9" fillId="9" fontId="1" numFmtId="0" xfId="0" applyBorder="1" applyFont="1"/>
    <xf borderId="9" fillId="9" fontId="1" numFmtId="0" xfId="0" applyAlignment="1" applyBorder="1" applyFont="1">
      <alignment shrinkToFit="0" vertical="bottom" wrapText="0"/>
    </xf>
    <xf borderId="9" fillId="0" fontId="1" numFmtId="0" xfId="0" applyAlignment="1" applyBorder="1" applyFont="1">
      <alignment shrinkToFit="0" wrapText="0"/>
    </xf>
    <xf borderId="0" fillId="0" fontId="19" numFmtId="0" xfId="0" applyAlignment="1" applyFont="1">
      <alignment vertical="center"/>
    </xf>
    <xf borderId="29" fillId="0" fontId="1" numFmtId="0" xfId="0" applyAlignment="1" applyBorder="1" applyFont="1">
      <alignment horizontal="center" shrinkToFit="0" wrapText="0"/>
    </xf>
    <xf borderId="0" fillId="0" fontId="3" numFmtId="0" xfId="0" applyAlignment="1" applyFont="1">
      <alignment horizontal="center" shrinkToFit="0" vertical="center" wrapText="1"/>
    </xf>
    <xf borderId="1" fillId="0" fontId="1" numFmtId="0" xfId="0" applyAlignment="1" applyBorder="1" applyFont="1">
      <alignment horizontal="center"/>
    </xf>
    <xf borderId="9" fillId="0" fontId="1" numFmtId="0" xfId="0" applyAlignment="1" applyBorder="1" applyFont="1">
      <alignment horizontal="left"/>
    </xf>
    <xf borderId="1" fillId="5" fontId="4" numFmtId="0" xfId="0" applyAlignment="1" applyBorder="1" applyFont="1">
      <alignment horizontal="center"/>
    </xf>
    <xf borderId="1" fillId="0" fontId="3" numFmtId="0" xfId="0" applyAlignment="1" applyBorder="1" applyFont="1">
      <alignment horizontal="center"/>
    </xf>
    <xf borderId="1" fillId="9" fontId="3" numFmtId="0" xfId="0" applyAlignment="1" applyBorder="1" applyFont="1">
      <alignment horizontal="center" shrinkToFit="0" wrapText="0"/>
    </xf>
    <xf borderId="29" fillId="0" fontId="3" numFmtId="0" xfId="0" applyAlignment="1" applyBorder="1" applyFont="1">
      <alignment horizontal="center" shrinkToFit="0" wrapText="0"/>
    </xf>
    <xf borderId="9" fillId="9" fontId="3" numFmtId="0" xfId="0" applyBorder="1" applyFont="1"/>
    <xf borderId="9" fillId="0" fontId="3" numFmtId="0" xfId="0" applyBorder="1" applyFont="1"/>
    <xf borderId="29" fillId="9" fontId="3" numFmtId="0" xfId="0" applyAlignment="1" applyBorder="1" applyFont="1">
      <alignment horizontal="center" shrinkToFit="0" wrapText="0"/>
    </xf>
    <xf borderId="30" fillId="9" fontId="3" numFmtId="0" xfId="0" applyAlignment="1" applyBorder="1" applyFont="1">
      <alignment horizontal="left"/>
    </xf>
    <xf borderId="31" fillId="9" fontId="3" numFmtId="0" xfId="0" applyAlignment="1" applyBorder="1" applyFont="1">
      <alignment horizontal="center" shrinkToFit="0" wrapText="1"/>
    </xf>
    <xf borderId="32" fillId="9" fontId="3" numFmtId="0" xfId="0" applyAlignment="1" applyBorder="1" applyFont="1">
      <alignment horizontal="center"/>
    </xf>
    <xf borderId="33" fillId="0" fontId="3" numFmtId="0" xfId="0" applyAlignment="1" applyBorder="1" applyFont="1">
      <alignment horizontal="center" shrinkToFit="0" wrapText="0"/>
    </xf>
    <xf borderId="0" fillId="0" fontId="20" numFmtId="0" xfId="0" applyAlignment="1" applyFont="1">
      <alignment vertical="center"/>
    </xf>
    <xf borderId="0" fillId="0" fontId="20" numFmtId="0" xfId="0" applyAlignment="1" applyFont="1">
      <alignment shrinkToFit="0" vertical="center" wrapText="1"/>
    </xf>
    <xf borderId="0" fillId="0" fontId="20" numFmtId="0" xfId="0" applyAlignment="1" applyFont="1">
      <alignment horizontal="center" vertical="center"/>
    </xf>
    <xf borderId="0" fillId="9" fontId="21" numFmtId="174" xfId="0" applyAlignment="1" applyFont="1" applyNumberFormat="1">
      <alignment vertical="center"/>
    </xf>
    <xf borderId="0" fillId="0" fontId="21" numFmtId="0" xfId="0" applyAlignment="1" applyFont="1">
      <alignment vertical="center"/>
    </xf>
    <xf borderId="0" fillId="0" fontId="13" numFmtId="0" xfId="0" applyAlignment="1" applyFont="1">
      <alignment vertical="center"/>
    </xf>
    <xf borderId="0" fillId="0" fontId="13" numFmtId="0" xfId="0" applyAlignment="1" applyFont="1">
      <alignment horizontal="center" vertical="center"/>
    </xf>
    <xf borderId="0" fillId="9" fontId="8" numFmtId="174" xfId="0" applyAlignment="1" applyFont="1" applyNumberFormat="1">
      <alignment vertical="center"/>
    </xf>
    <xf borderId="0" fillId="0" fontId="8" numFmtId="0" xfId="0" applyAlignment="1" applyFont="1">
      <alignment vertical="center"/>
    </xf>
    <xf borderId="34" fillId="15" fontId="20" numFmtId="0" xfId="0" applyAlignment="1" applyBorder="1" applyFont="1">
      <alignment horizontal="center" vertical="center"/>
    </xf>
    <xf borderId="28" fillId="15" fontId="20" numFmtId="0" xfId="0" applyAlignment="1" applyBorder="1" applyFont="1">
      <alignment horizontal="center" shrinkToFit="0" vertical="center" wrapText="1"/>
    </xf>
    <xf borderId="4" fillId="15" fontId="20" numFmtId="0" xfId="0" applyAlignment="1" applyBorder="1" applyFont="1">
      <alignment horizontal="center" shrinkToFit="0" vertical="center" wrapText="1"/>
    </xf>
    <xf borderId="5" fillId="0" fontId="13" numFmtId="0" xfId="0" applyAlignment="1" applyBorder="1" applyFont="1">
      <alignment horizontal="center" vertical="center"/>
    </xf>
    <xf borderId="5" fillId="0" fontId="13" numFmtId="174" xfId="0" applyAlignment="1" applyBorder="1" applyFont="1" applyNumberFormat="1">
      <alignment horizontal="center" vertical="center"/>
    </xf>
    <xf borderId="5" fillId="0" fontId="20" numFmtId="0" xfId="0" applyAlignment="1" applyBorder="1" applyFont="1">
      <alignment horizontal="center" vertical="center"/>
    </xf>
    <xf borderId="0" fillId="0" fontId="13" numFmtId="0" xfId="0" applyAlignment="1" applyFont="1">
      <alignment horizontal="center" vertical="center"/>
    </xf>
    <xf borderId="5" fillId="0" fontId="4" numFmtId="0" xfId="0" applyAlignment="1" applyBorder="1" applyFont="1">
      <alignment horizontal="center" vertical="center"/>
    </xf>
    <xf borderId="5" fillId="0" fontId="4" numFmtId="174" xfId="0" applyAlignment="1" applyBorder="1" applyFont="1" applyNumberFormat="1">
      <alignment horizontal="center" vertical="center"/>
    </xf>
    <xf borderId="0" fillId="0" fontId="4" numFmtId="0" xfId="0" applyAlignment="1" applyFont="1">
      <alignment horizontal="center" vertical="center"/>
    </xf>
    <xf borderId="0" fillId="9" fontId="4" numFmtId="174" xfId="0" applyAlignment="1" applyFont="1" applyNumberFormat="1">
      <alignment vertical="center"/>
    </xf>
    <xf borderId="1" fillId="15" fontId="4" numFmtId="0" xfId="0" applyAlignment="1" applyBorder="1" applyFont="1">
      <alignment horizontal="center" vertical="center"/>
    </xf>
    <xf borderId="1" fillId="0" fontId="1" numFmtId="171" xfId="0" applyAlignment="1" applyBorder="1" applyFont="1" applyNumberFormat="1">
      <alignment vertical="center"/>
    </xf>
    <xf borderId="0" fillId="0" fontId="22" numFmtId="0" xfId="0" applyAlignment="1" applyFont="1">
      <alignment vertical="center"/>
    </xf>
    <xf borderId="0" fillId="0" fontId="1" numFmtId="4" xfId="0" applyAlignment="1" applyFont="1" applyNumberFormat="1">
      <alignment horizontal="center" vertical="center"/>
    </xf>
    <xf borderId="0" fillId="0" fontId="1" numFmtId="171" xfId="0" applyAlignment="1" applyFont="1" applyNumberFormat="1">
      <alignment vertical="center"/>
    </xf>
    <xf borderId="0" fillId="0" fontId="1" numFmtId="4" xfId="0" applyAlignment="1" applyFont="1" applyNumberFormat="1">
      <alignment vertical="center"/>
    </xf>
    <xf borderId="0" fillId="0" fontId="23" numFmtId="0" xfId="0" applyFont="1"/>
  </cellXfs>
  <cellStyles count="1">
    <cellStyle xfId="0" name="Normal" builtinId="0"/>
  </cellStyles>
  <dxfs count="6">
    <dxf>
      <font/>
      <fill>
        <patternFill patternType="none"/>
      </fill>
      <border/>
    </dxf>
    <dxf>
      <font/>
      <fill>
        <patternFill patternType="solid">
          <fgColor rgb="FFDBE5F1"/>
          <bgColor rgb="FFDBE5F1"/>
        </patternFill>
      </fill>
      <border/>
    </dxf>
    <dxf>
      <font/>
      <fill>
        <patternFill patternType="solid">
          <fgColor rgb="FFB8CCE4"/>
          <bgColor rgb="FFB8CCE4"/>
        </patternFill>
      </fill>
      <border/>
    </dxf>
    <dxf>
      <font/>
      <fill>
        <patternFill patternType="solid">
          <fgColor theme="5"/>
          <bgColor theme="5"/>
        </patternFill>
      </fill>
      <border/>
    </dxf>
    <dxf>
      <font/>
      <fill>
        <patternFill patternType="solid">
          <fgColor rgb="FFB7E1CD"/>
          <bgColor rgb="FFB7E1CD"/>
        </patternFill>
      </fill>
      <border/>
    </dxf>
    <dxf>
      <font/>
      <fill>
        <patternFill patternType="solid">
          <fgColor theme="8"/>
          <bgColor theme="8"/>
        </patternFill>
      </fill>
      <border/>
    </dxf>
  </dxfs>
  <tableStyles count="5">
    <tableStyle count="2" pivot="0" name="Custo-style">
      <tableStyleElement dxfId="1" type="firstRowStripe"/>
      <tableStyleElement dxfId="2" type="secondRowStripe"/>
    </tableStyle>
    <tableStyle count="2" pivot="0" name="Custo-style 2">
      <tableStyleElement dxfId="1" type="firstRowStripe"/>
      <tableStyleElement dxfId="2" type="secondRowStripe"/>
    </tableStyle>
    <tableStyle count="2" pivot="0" name="Custo-style 3">
      <tableStyleElement dxfId="1" type="firstRowStripe"/>
      <tableStyleElement dxfId="2" type="secondRowStripe"/>
    </tableStyle>
    <tableStyle count="3" pivot="0" name="equipamentos-style">
      <tableStyleElement dxfId="3" type="headerRow"/>
      <tableStyleElement dxfId="1" type="firstRowStripe"/>
      <tableStyleElement dxfId="2" type="secondRowStripe"/>
    </tableStyle>
    <tableStyle count="3" pivot="0" name="serviços e suprimentos-style">
      <tableStyleElement dxfId="5" type="headerRow"/>
      <tableStyleElement dxfId="1" type="firstRowStripe"/>
      <tableStyleElement dxfId="2" type="secondRowStripe"/>
    </tableStyle>
  </tableStyles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<Relationships xmlns="http://schemas.openxmlformats.org/package/2006/relationships"><Relationship Id="rId1" Type="http://customschemas.google.com/relationships/workbookmetadata" Target="commentsmeta1"/></Relationships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7.xml"/><Relationship Id="rId10" Type="http://schemas.openxmlformats.org/officeDocument/2006/relationships/worksheet" Target="worksheets/sheet6.xml"/><Relationship Id="rId13" Type="http://customschemas.google.com/relationships/workbookmetadata" Target="metadata"/><Relationship Id="rId12" Type="http://schemas.openxmlformats.org/officeDocument/2006/relationships/worksheet" Target="worksheets/sheet8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485775</xdr:colOff>
      <xdr:row>5</xdr:row>
      <xdr:rowOff>104775</xdr:rowOff>
    </xdr:from>
    <xdr:ext cx="6419850" cy="3028950"/>
    <xdr:sp>
      <xdr:nvSpPr>
        <xdr:cNvPr id="3" name="Shape 3"/>
        <xdr:cNvSpPr/>
      </xdr:nvSpPr>
      <xdr:spPr>
        <a:xfrm>
          <a:off x="2140838" y="2270288"/>
          <a:ext cx="6410325" cy="3019425"/>
        </a:xfrm>
        <a:prstGeom prst="rect">
          <a:avLst/>
        </a:prstGeom>
        <a:noFill/>
        <a:ln cap="flat" cmpd="sng" w="12700">
          <a:solidFill>
            <a:schemeClr val="dk1"/>
          </a:solidFill>
          <a:prstDash val="solid"/>
          <a:round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0</xdr:col>
      <xdr:colOff>495300</xdr:colOff>
      <xdr:row>21</xdr:row>
      <xdr:rowOff>38100</xdr:rowOff>
    </xdr:from>
    <xdr:ext cx="6419850" cy="1504950"/>
    <xdr:sp>
      <xdr:nvSpPr>
        <xdr:cNvPr id="4" name="Shape 4"/>
        <xdr:cNvSpPr/>
      </xdr:nvSpPr>
      <xdr:spPr>
        <a:xfrm>
          <a:off x="2140838" y="3032288"/>
          <a:ext cx="6410325" cy="1495425"/>
        </a:xfrm>
        <a:prstGeom prst="rect">
          <a:avLst/>
        </a:prstGeom>
        <a:noFill/>
        <a:ln cap="flat" cmpd="sng" w="12700">
          <a:solidFill>
            <a:schemeClr val="dk1"/>
          </a:solidFill>
          <a:prstDash val="solid"/>
          <a:round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t/>
          </a:r>
          <a:endParaRPr sz="1100"/>
        </a:p>
      </xdr:txBody>
    </xdr: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7</xdr:col>
      <xdr:colOff>476250</xdr:colOff>
      <xdr:row>0</xdr:row>
      <xdr:rowOff>38100</xdr:rowOff>
    </xdr:from>
    <xdr:ext cx="2438400" cy="647700"/>
    <xdr:sp>
      <xdr:nvSpPr>
        <xdr:cNvPr id="5" name="Shape 5"/>
        <xdr:cNvSpPr/>
      </xdr:nvSpPr>
      <xdr:spPr>
        <a:xfrm>
          <a:off x="4131563" y="3460913"/>
          <a:ext cx="2428875" cy="638175"/>
        </a:xfrm>
        <a:prstGeom prst="roundRect">
          <a:avLst>
            <a:gd fmla="val 16667" name="adj"/>
          </a:avLst>
        </a:prstGeom>
        <a:solidFill>
          <a:srgbClr val="C5D8F1"/>
        </a:solidFill>
        <a:ln cap="flat" cmpd="sng" w="9525">
          <a:solidFill>
            <a:srgbClr val="395E89"/>
          </a:solidFill>
          <a:prstDash val="solid"/>
          <a:round/>
          <a:headEnd len="sm" w="sm" type="none"/>
          <a:tailEnd len="sm" w="sm" type="none"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rgbClr val="000000"/>
            </a:buClr>
            <a:buSzPts val="1300"/>
            <a:buFont typeface="Calibri"/>
            <a:buNone/>
          </a:pPr>
          <a:r>
            <a:rPr lang="en-US" sz="13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Executar lista de equipamentos selecionados</a:t>
          </a:r>
          <a:endParaRPr sz="1300">
            <a:solidFill>
              <a:srgbClr val="000000"/>
            </a:solidFill>
          </a:endParaRPr>
        </a:p>
      </xdr:txBody>
    </xdr: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371475</xdr:colOff>
      <xdr:row>0</xdr:row>
      <xdr:rowOff>76200</xdr:rowOff>
    </xdr:from>
    <xdr:ext cx="1752600" cy="523875"/>
    <xdr:sp>
      <xdr:nvSpPr>
        <xdr:cNvPr id="6" name="Shape 6"/>
        <xdr:cNvSpPr/>
      </xdr:nvSpPr>
      <xdr:spPr>
        <a:xfrm>
          <a:off x="4474463" y="3522825"/>
          <a:ext cx="1743075" cy="514350"/>
        </a:xfrm>
        <a:prstGeom prst="roundRect">
          <a:avLst>
            <a:gd fmla="val 16667" name="adj"/>
          </a:avLst>
        </a:prstGeom>
        <a:solidFill>
          <a:srgbClr val="F2DADA"/>
        </a:solidFill>
        <a:ln cap="flat" cmpd="sng" w="9525">
          <a:solidFill>
            <a:srgbClr val="000000"/>
          </a:solidFill>
          <a:prstDash val="solid"/>
          <a:round/>
          <a:headEnd len="sm" w="sm" type="none"/>
          <a:tailEnd len="sm" w="sm" type="none"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Calibri"/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Executar lista de contratos e suprimentos</a:t>
          </a:r>
          <a:endParaRPr sz="1400"/>
        </a:p>
      </xdr:txBody>
    </xdr: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headerRowCount="0" ref="B47:B140" displayName="Table_1" name="Table_1" id="1">
  <tableColumns count="1">
    <tableColumn name="Column1" id="1"/>
  </tableColumns>
  <tableStyleInfo name="Custo-style" showColumnStripes="0" showFirstColumn="1" showLastColumn="1" showRowStripes="1"/>
</table>
</file>

<file path=xl/tables/table2.xml><?xml version="1.0" encoding="utf-8"?>
<table xmlns="http://schemas.openxmlformats.org/spreadsheetml/2006/main" headerRowCount="0" ref="D47:D140" displayName="Table_2" name="Table_2" id="2">
  <tableColumns count="1">
    <tableColumn name="Column1" id="1"/>
  </tableColumns>
  <tableStyleInfo name="Custo-style 2" showColumnStripes="0" showFirstColumn="1" showLastColumn="1" showRowStripes="1"/>
</table>
</file>

<file path=xl/tables/table3.xml><?xml version="1.0" encoding="utf-8"?>
<table xmlns="http://schemas.openxmlformats.org/spreadsheetml/2006/main" headerRowCount="0" ref="E47:E102" displayName="Table_3" name="Table_3" id="3">
  <tableColumns count="1">
    <tableColumn name="Column1" id="1"/>
  </tableColumns>
  <tableStyleInfo name="Custo-style 3" showColumnStripes="0" showFirstColumn="1" showLastColumn="1" showRowStripes="1"/>
</table>
</file>

<file path=xl/tables/table4.xml><?xml version="1.0" encoding="utf-8"?>
<table xmlns="http://schemas.openxmlformats.org/spreadsheetml/2006/main" ref="A4:F134" displayName="Table_4" name="Table_4" id="4">
  <tableColumns count="6">
    <tableColumn name="Equipamento" id="1"/>
    <tableColumn name="Laboratório" id="2"/>
    <tableColumn name="Ano fabricação" id="3"/>
    <tableColumn name="Valor da aquisição (R$)" id="4"/>
    <tableColumn name="Valor da aquisição convertido (US$)" id="5"/>
    <tableColumn name="Marcar com (X) - máximo de 50 equip." id="6"/>
  </tableColumns>
  <tableStyleInfo name="equipamentos-style" showColumnStripes="0" showFirstColumn="1" showLastColumn="1" showRowStripes="1"/>
</table>
</file>

<file path=xl/tables/table5.xml><?xml version="1.0" encoding="utf-8"?>
<table xmlns="http://schemas.openxmlformats.org/spreadsheetml/2006/main" ref="A4:D35" displayName="Table_5" name="Table_5" id="5">
  <tableColumns count="4">
    <tableColumn name="Tipo" id="1"/>
    <tableColumn name="Descrição do item" id="2"/>
    <tableColumn name="Valor anual (R$)" id="3"/>
    <tableColumn name="Marcar (X)" id="4"/>
  </tableColumns>
  <tableStyleInfo name="serviços e suprimentos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2.xml"/><Relationship Id="rId3" Type="http://schemas.openxmlformats.org/officeDocument/2006/relationships/vmlDrawing" Target="../drawings/vmlDrawing1.vml"/><Relationship Id="rId9" Type="http://schemas.openxmlformats.org/officeDocument/2006/relationships/table" Target="../tables/table3.xml"/><Relationship Id="rId7" Type="http://schemas.openxmlformats.org/officeDocument/2006/relationships/table" Target="../tables/table1.xml"/><Relationship Id="rId8" Type="http://schemas.openxmlformats.org/officeDocument/2006/relationships/table" Target="../tables/table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drawing" Target="../drawings/drawing4.xml"/><Relationship Id="rId3" Type="http://schemas.openxmlformats.org/officeDocument/2006/relationships/vmlDrawing" Target="../drawings/vmlDrawing2.v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Relationship Id="rId3" Type="http://schemas.openxmlformats.org/officeDocument/2006/relationships/table" Target="../tables/table4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Relationship Id="rId3" Type="http://schemas.openxmlformats.org/officeDocument/2006/relationships/table" Target="../tables/table5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s://www.bcb.gov.br/estabilidadefinanceira/fechamentodolar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3">
    <pageSetUpPr/>
  </sheetPr>
  <sheetViews>
    <sheetView showGridLines="0" workbookViewId="0"/>
  </sheetViews>
  <sheetFormatPr customHeight="1" defaultColWidth="14.43" defaultRowHeight="15.0"/>
  <cols>
    <col customWidth="1" min="1" max="1" width="24.0"/>
    <col customWidth="1" min="2" max="2" width="77.57"/>
    <col customWidth="1" min="4" max="4" width="20.71"/>
    <col customWidth="1" min="5" max="5" width="22.14"/>
    <col customWidth="1" min="6" max="6" width="9.14"/>
    <col customWidth="1" min="7" max="26" width="8.71"/>
  </cols>
  <sheetData>
    <row r="1">
      <c r="A1" s="1"/>
      <c r="B1" s="2" t="s">
        <v>0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3" t="s">
        <v>1</v>
      </c>
      <c r="B2" s="4" t="s">
        <v>2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5">
        <f>'serviços e suprimentos'!C35</f>
        <v>8353280</v>
      </c>
      <c r="B3" s="4" t="s">
        <v>3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ht="15.75" customHeight="1">
      <c r="A4" s="6">
        <v>20509.9</v>
      </c>
      <c r="B4" s="7" t="s">
        <v>4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ht="15.75" customHeight="1">
      <c r="A5" s="8">
        <v>0.37</v>
      </c>
      <c r="B5" s="7" t="s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ht="15.75" customHeight="1">
      <c r="A6" s="9">
        <v>4000.0</v>
      </c>
      <c r="B6" s="7" t="s">
        <v>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ht="15.75" customHeight="1">
      <c r="A7" s="10">
        <v>50.0</v>
      </c>
      <c r="B7" s="7" t="s">
        <v>7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ht="15.75" customHeight="1">
      <c r="A8" s="10">
        <v>0.02</v>
      </c>
      <c r="B8" s="7" t="s">
        <v>8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ht="15.75" customHeight="1">
      <c r="A9" s="11">
        <v>5000.0</v>
      </c>
      <c r="B9" s="12" t="s">
        <v>9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ht="15.75" customHeight="1">
      <c r="A10" s="10">
        <v>1500.0</v>
      </c>
      <c r="B10" s="7" t="s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ht="15.75" customHeight="1">
      <c r="A11" s="10">
        <v>0.05</v>
      </c>
      <c r="B11" s="7" t="s">
        <v>11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ht="15.75" customHeight="1">
      <c r="A12" s="13">
        <v>133.68</v>
      </c>
      <c r="B12" s="14" t="s">
        <v>12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ht="15.75" customHeight="1">
      <c r="A13" s="13">
        <v>80.98</v>
      </c>
      <c r="B13" s="14" t="s">
        <v>13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ht="15.75" customHeight="1">
      <c r="A14" s="15"/>
      <c r="B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ht="15.75" customHeight="1">
      <c r="A15" s="15"/>
      <c r="B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15.75" customHeight="1">
      <c r="A16" s="15"/>
      <c r="B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ht="15.75" customHeight="1">
      <c r="A17" s="15"/>
      <c r="B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ht="15.75" customHeight="1">
      <c r="A18" s="1"/>
      <c r="B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ht="15.75" customHeight="1">
      <c r="A19" s="1"/>
      <c r="B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ht="15.75" customHeight="1">
      <c r="A20" s="1"/>
      <c r="B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1"/>
      <c r="B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1"/>
      <c r="B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1"/>
      <c r="B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1"/>
      <c r="B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1"/>
      <c r="B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1"/>
      <c r="B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1"/>
      <c r="B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75" customHeight="1">
      <c r="A29" s="1"/>
      <c r="B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75" customHeight="1">
      <c r="A30" s="1"/>
      <c r="B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1"/>
      <c r="B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15.75" customHeight="1">
      <c r="A33" s="1"/>
      <c r="B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5.75" customHeight="1">
      <c r="A34" s="1"/>
      <c r="B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15.75" customHeight="1">
      <c r="A35" s="1"/>
      <c r="B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15.75" customHeight="1">
      <c r="A36" s="1"/>
      <c r="B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5.75" customHeight="1">
      <c r="A37" s="1"/>
      <c r="B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5.75" customHeight="1">
      <c r="A38" s="1"/>
      <c r="B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5.75" customHeight="1">
      <c r="A39" s="1"/>
      <c r="B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15.75" customHeight="1">
      <c r="A40" s="1"/>
      <c r="B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5.75" customHeight="1">
      <c r="A41" s="1"/>
      <c r="B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15.75" customHeight="1">
      <c r="A42" s="1"/>
      <c r="B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15.75" customHeight="1">
      <c r="A43" s="1"/>
      <c r="B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5.75" customHeight="1">
      <c r="A44" s="1"/>
      <c r="B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5.75" customHeight="1">
      <c r="A45" s="1"/>
      <c r="B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5.75" customHeight="1">
      <c r="A46" s="1"/>
      <c r="B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15.75" customHeight="1">
      <c r="A47" s="1"/>
      <c r="B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15.75" customHeight="1">
      <c r="A48" s="1"/>
      <c r="B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15.75" customHeight="1">
      <c r="A49" s="1"/>
      <c r="B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5.75" customHeight="1">
      <c r="A50" s="1"/>
      <c r="B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5.75" customHeight="1">
      <c r="A51" s="1"/>
      <c r="B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5.75" customHeight="1">
      <c r="A52" s="1"/>
      <c r="B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5.75" customHeight="1">
      <c r="A53" s="1"/>
      <c r="B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</sheetData>
  <printOptions/>
  <pageMargins bottom="0.787401575" footer="0.0" header="0.0" left="0.511811024" right="0.511811024" top="0.78740157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1">
    <pageSetUpPr/>
  </sheetPr>
  <sheetViews>
    <sheetView showGridLines="0" workbookViewId="0"/>
  </sheetViews>
  <sheetFormatPr customHeight="1" defaultColWidth="14.43" defaultRowHeight="15.0"/>
  <cols>
    <col customWidth="1" min="1" max="1" width="1.57"/>
    <col customWidth="1" min="2" max="2" width="58.57"/>
    <col customWidth="1" min="3" max="3" width="37.43"/>
    <col customWidth="1" hidden="1" min="4" max="4" width="14.71"/>
    <col customWidth="1" min="5" max="5" width="12.86"/>
    <col customWidth="1" min="6" max="6" width="13.43"/>
    <col customWidth="1" min="7" max="7" width="13.86"/>
    <col customWidth="1" min="8" max="8" width="12.14"/>
    <col customWidth="1" min="9" max="26" width="8.71"/>
  </cols>
  <sheetData>
    <row r="1">
      <c r="A1" s="1"/>
      <c r="B1" s="16" t="s">
        <v>14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ht="7.5" customHeight="1">
      <c r="A2" s="1"/>
      <c r="B2" s="17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ht="6.0" customHeight="1">
      <c r="A3" s="1"/>
      <c r="B3" s="17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8" t="s">
        <v>15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ht="15.0" customHeight="1">
      <c r="A5" s="1"/>
      <c r="B5" s="19"/>
      <c r="D5" s="20"/>
      <c r="E5" s="20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8" t="s">
        <v>16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ht="17.25" customHeight="1">
      <c r="A8" s="1"/>
      <c r="B8" s="21"/>
      <c r="C8" s="22"/>
      <c r="D8" s="22"/>
      <c r="E8" s="22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ht="3.75" customHeight="1">
      <c r="A9" s="1"/>
      <c r="B9" s="17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1"/>
      <c r="B10" s="17"/>
      <c r="C10" s="23" t="s">
        <v>17</v>
      </c>
      <c r="D10" s="24">
        <f>TODAY()</f>
        <v>46077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1"/>
      <c r="B11" s="17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1"/>
      <c r="B12" s="25" t="s">
        <v>18</v>
      </c>
      <c r="C12" s="26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1"/>
      <c r="B13" s="27" t="s">
        <v>19</v>
      </c>
      <c r="C13" s="28">
        <v>56.4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1"/>
      <c r="B14" s="27" t="s">
        <v>20</v>
      </c>
      <c r="C14" s="29">
        <v>0.005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1"/>
      <c r="B15" s="27" t="s">
        <v>21</v>
      </c>
      <c r="C15" s="30">
        <v>0.0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>
      <c r="A16" s="1"/>
      <c r="B16" s="17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1"/>
      <c r="B17" s="25" t="s">
        <v>22</v>
      </c>
      <c r="C17" s="26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1"/>
      <c r="B18" s="27" t="s">
        <v>23</v>
      </c>
      <c r="C18" s="31">
        <f>C13*(1+'Dados CTI'!$A$5)*'Dados CTI'!$A$6/('Dados CTI'!$A$7*12)*C14</f>
        <v>2.5756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1"/>
      <c r="B19" s="27" t="s">
        <v>24</v>
      </c>
      <c r="C19" s="31">
        <f>C13*C14*'Dados CTI'!$A$6*(1+'Dados CTI'!$A$5)*'Dados CTI'!$A$8/12</f>
        <v>2.5756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1"/>
      <c r="B20" s="27" t="s">
        <v>25</v>
      </c>
      <c r="C20" s="31" t="str">
        <f>C13*C14*(1+'Dados CTI'!$A$5)*#REF!/'Dados CTI'!$A$4/12</f>
        <v>#REF!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1"/>
      <c r="B21" s="32" t="s">
        <v>26</v>
      </c>
      <c r="C21" s="31">
        <f>F145</f>
        <v>0</v>
      </c>
      <c r="D21" s="33"/>
      <c r="E21" s="33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1"/>
      <c r="B22" s="27" t="s">
        <v>27</v>
      </c>
      <c r="C22" s="31">
        <f>G145</f>
        <v>0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1"/>
      <c r="B23" s="27" t="s">
        <v>28</v>
      </c>
      <c r="C23" s="31" t="str">
        <f>SUM(C18:C22)</f>
        <v>#REF!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1"/>
      <c r="B24" s="17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hidden="1" customHeight="1">
      <c r="A25" s="1"/>
      <c r="B25" s="25" t="s">
        <v>29</v>
      </c>
      <c r="C25" s="26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hidden="1" customHeight="1">
      <c r="A26" s="1"/>
      <c r="B26" s="27" t="s">
        <v>30</v>
      </c>
      <c r="C26" s="34">
        <v>0.05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hidden="1" customHeight="1">
      <c r="A27" s="1"/>
      <c r="B27" s="35" t="s">
        <v>31</v>
      </c>
      <c r="C27" s="31">
        <f>IF((C26=""),C23,C26*C15)</f>
        <v>0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hidden="1" customHeight="1">
      <c r="A28" s="1"/>
      <c r="B28" s="35" t="s">
        <v>32</v>
      </c>
      <c r="C28" s="31" t="str">
        <f>IF(C23&gt;C27,C27,C23)</f>
        <v>#REF!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75" hidden="1" customHeight="1">
      <c r="A29" s="1"/>
      <c r="B29" s="36"/>
      <c r="C29" s="37" t="str">
        <f>C28/C30</f>
        <v>#REF!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75" hidden="1" customHeight="1">
      <c r="A30" s="1"/>
      <c r="B30" s="27" t="s">
        <v>33</v>
      </c>
      <c r="C30" s="38" t="str">
        <f>C15+C28</f>
        <v>#REF!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hidden="1" customHeight="1">
      <c r="A31" s="1"/>
      <c r="B31" s="17"/>
      <c r="C31" s="39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1"/>
      <c r="B32" s="17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15.75" customHeight="1">
      <c r="A33" s="1"/>
      <c r="B33" s="17"/>
      <c r="C33" s="1"/>
      <c r="D33" s="7" t="s">
        <v>34</v>
      </c>
      <c r="E33" s="40">
        <f>dolar!B40</f>
        <v>5.662</v>
      </c>
      <c r="F33" s="41" t="s">
        <v>35</v>
      </c>
      <c r="G33" s="42"/>
      <c r="H33" s="43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5.75" customHeight="1">
      <c r="A34" s="1"/>
      <c r="B34" s="17"/>
      <c r="C34" s="1"/>
      <c r="D34" s="1"/>
      <c r="E34" s="1"/>
      <c r="F34" s="1"/>
      <c r="G34" s="44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42.75" customHeight="1">
      <c r="A35" s="45" t="s">
        <v>36</v>
      </c>
      <c r="B35" s="46" t="s">
        <v>37</v>
      </c>
      <c r="C35" s="47" t="s">
        <v>38</v>
      </c>
      <c r="D35" s="46" t="s">
        <v>39</v>
      </c>
      <c r="E35" s="48" t="s">
        <v>40</v>
      </c>
      <c r="F35" s="47" t="s">
        <v>41</v>
      </c>
      <c r="G35" s="47" t="s">
        <v>42</v>
      </c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15.75" customHeight="1">
      <c r="A36" s="1"/>
      <c r="B36" s="49" t="s">
        <v>43</v>
      </c>
      <c r="C36" s="50"/>
      <c r="D36" s="50"/>
      <c r="E36" s="50"/>
      <c r="F36" s="26"/>
      <c r="G36" s="26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33.0" hidden="1" customHeight="1">
      <c r="A37" s="51"/>
      <c r="B37" s="52" t="s">
        <v>44</v>
      </c>
      <c r="C37" s="51">
        <v>0.0</v>
      </c>
      <c r="D37" s="53"/>
      <c r="E37" s="54">
        <v>1068059.87</v>
      </c>
      <c r="F37" s="55">
        <f>E37/'Dados CTI'!$A$9*C37</f>
        <v>0</v>
      </c>
      <c r="G37" s="55">
        <f>E37*'Dados CTI'!$A$11/1500*Custo!C37</f>
        <v>0</v>
      </c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</row>
    <row r="38" ht="33.0" hidden="1" customHeight="1">
      <c r="A38" s="51">
        <v>1.0</v>
      </c>
      <c r="B38" s="52" t="s">
        <v>45</v>
      </c>
      <c r="C38" s="51">
        <v>0.0</v>
      </c>
      <c r="D38" s="53"/>
      <c r="E38" s="54">
        <v>1519069.47</v>
      </c>
      <c r="F38" s="55">
        <f>E38/'Dados CTI'!$A$9*C38</f>
        <v>0</v>
      </c>
      <c r="G38" s="55">
        <f>E38*'Dados CTI'!$A$11/1500*Custo!C38</f>
        <v>0</v>
      </c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</row>
    <row r="39" ht="33.0" hidden="1" customHeight="1">
      <c r="A39" s="51"/>
      <c r="B39" s="56" t="s">
        <v>46</v>
      </c>
      <c r="C39" s="51">
        <v>0.0</v>
      </c>
      <c r="D39" s="53"/>
      <c r="E39" s="57">
        <v>494506.38</v>
      </c>
      <c r="F39" s="55">
        <f>E39/'Dados CTI'!$A$9*C39</f>
        <v>0</v>
      </c>
      <c r="G39" s="55">
        <f>E39*'Dados CTI'!$A$11/1500*Custo!C39</f>
        <v>0</v>
      </c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</row>
    <row r="40" ht="33.0" hidden="1" customHeight="1">
      <c r="A40" s="51"/>
      <c r="B40" s="56" t="s">
        <v>47</v>
      </c>
      <c r="C40" s="51">
        <v>0.0</v>
      </c>
      <c r="D40" s="53"/>
      <c r="E40" s="57">
        <v>221915.12</v>
      </c>
      <c r="F40" s="55">
        <f>E40/'Dados CTI'!$A$9*C40</f>
        <v>0</v>
      </c>
      <c r="G40" s="55">
        <f>E40*'Dados CTI'!$A$11/1500*Custo!C40</f>
        <v>0</v>
      </c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</row>
    <row r="41" ht="33.0" hidden="1" customHeight="1">
      <c r="A41" s="51"/>
      <c r="B41" s="58" t="s">
        <v>48</v>
      </c>
      <c r="C41" s="51">
        <v>0.0</v>
      </c>
      <c r="D41" s="53"/>
      <c r="E41" s="57">
        <v>1300000.0</v>
      </c>
      <c r="F41" s="55">
        <f>E41/'Dados CTI'!$A$9*C41</f>
        <v>0</v>
      </c>
      <c r="G41" s="55">
        <f>E41*'Dados CTI'!$A$11/1500*Custo!C41</f>
        <v>0</v>
      </c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</row>
    <row r="42" ht="33.0" hidden="1" customHeight="1">
      <c r="A42" s="51"/>
      <c r="B42" s="59" t="s">
        <v>49</v>
      </c>
      <c r="C42" s="51">
        <v>0.0</v>
      </c>
      <c r="D42" s="53"/>
      <c r="E42" s="53">
        <v>985000.0</v>
      </c>
      <c r="F42" s="55">
        <f>E42/'Dados CTI'!$A$9*C42</f>
        <v>0</v>
      </c>
      <c r="G42" s="55">
        <f>E42*'Dados CTI'!$A$11/1500*Custo!C42</f>
        <v>0</v>
      </c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</row>
    <row r="43" ht="33.0" hidden="1" customHeight="1">
      <c r="A43" s="51"/>
      <c r="B43" s="60" t="s">
        <v>50</v>
      </c>
      <c r="C43" s="51">
        <v>0.0</v>
      </c>
      <c r="D43" s="53"/>
      <c r="E43" s="53">
        <v>80000.0</v>
      </c>
      <c r="F43" s="55">
        <f>E43/'Dados CTI'!$A$9*C43</f>
        <v>0</v>
      </c>
      <c r="G43" s="55">
        <f>E43*'Dados CTI'!$A$11/1500*Custo!C43</f>
        <v>0</v>
      </c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</row>
    <row r="44" ht="33.0" hidden="1" customHeight="1">
      <c r="A44" s="51"/>
      <c r="B44" s="56" t="s">
        <v>47</v>
      </c>
      <c r="C44" s="51">
        <v>0.0</v>
      </c>
      <c r="D44" s="53"/>
      <c r="E44" s="54">
        <v>221915.12</v>
      </c>
      <c r="F44" s="55">
        <f>E44/'Dados CTI'!$A$9*C44</f>
        <v>0</v>
      </c>
      <c r="G44" s="55">
        <f>E44*'Dados CTI'!$A$11/1500*Custo!C44</f>
        <v>0</v>
      </c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</row>
    <row r="45" ht="33.0" hidden="1" customHeight="1">
      <c r="A45" s="51"/>
      <c r="B45" s="61" t="s">
        <v>51</v>
      </c>
      <c r="C45" s="51">
        <v>0.0</v>
      </c>
      <c r="D45" s="53"/>
      <c r="E45" s="54">
        <v>2403270.0</v>
      </c>
      <c r="F45" s="55">
        <f>E45/'Dados CTI'!$A$9*C45</f>
        <v>0</v>
      </c>
      <c r="G45" s="55">
        <f>E45*'Dados CTI'!$A$11/1500*Custo!C45</f>
        <v>0</v>
      </c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</row>
    <row r="46" ht="33.0" customHeight="1">
      <c r="A46" s="51"/>
      <c r="B46" s="62" t="s">
        <v>52</v>
      </c>
      <c r="C46" s="51">
        <v>0.0</v>
      </c>
      <c r="D46" s="53"/>
      <c r="E46" s="54">
        <v>4391.76</v>
      </c>
      <c r="F46" s="55">
        <f>E46/'Dados CTI'!$A$9*C46</f>
        <v>0</v>
      </c>
      <c r="G46" s="55">
        <f>E46*'Dados CTI'!$A$11/1500*Custo!C46</f>
        <v>0</v>
      </c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</row>
    <row r="47" ht="45.75" customHeight="1">
      <c r="A47" s="51"/>
      <c r="B47" s="63" t="s">
        <v>53</v>
      </c>
      <c r="C47" s="51">
        <v>0.0</v>
      </c>
      <c r="D47" s="64">
        <v>1300000.0</v>
      </c>
      <c r="E47" s="64">
        <v>1300000.0</v>
      </c>
      <c r="F47" s="55">
        <f>E47/'Dados CTI'!$A$9*C47</f>
        <v>0</v>
      </c>
      <c r="G47" s="55">
        <f>E47*'Dados CTI'!$A$11/1500*Custo!C47</f>
        <v>0</v>
      </c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</row>
    <row r="48" ht="45.75" customHeight="1">
      <c r="A48" s="51"/>
      <c r="B48" s="65" t="s">
        <v>54</v>
      </c>
      <c r="C48" s="51">
        <v>0.0</v>
      </c>
      <c r="D48" s="64">
        <v>350000.0</v>
      </c>
      <c r="E48" s="64">
        <v>350000.0</v>
      </c>
      <c r="F48" s="55">
        <f>E48/'Dados CTI'!$A$9*C48</f>
        <v>0</v>
      </c>
      <c r="G48" s="55">
        <f>E48*'Dados CTI'!$A$11/1500*Custo!C48</f>
        <v>0</v>
      </c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</row>
    <row r="49" ht="45.75" customHeight="1">
      <c r="A49" s="51"/>
      <c r="B49" s="63" t="s">
        <v>55</v>
      </c>
      <c r="C49" s="51">
        <v>0.0</v>
      </c>
      <c r="D49" s="64">
        <v>215000.0</v>
      </c>
      <c r="E49" s="64">
        <v>215000.0</v>
      </c>
      <c r="F49" s="55">
        <f>E49/'Dados CTI'!$A$9*C49</f>
        <v>0</v>
      </c>
      <c r="G49" s="55">
        <f>E49*'Dados CTI'!$A$11/1500*Custo!C49</f>
        <v>0</v>
      </c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</row>
    <row r="50" ht="45.75" customHeight="1">
      <c r="A50" s="51"/>
      <c r="B50" s="63" t="s">
        <v>56</v>
      </c>
      <c r="C50" s="51">
        <v>0.0</v>
      </c>
      <c r="D50" s="64">
        <v>70000.0</v>
      </c>
      <c r="E50" s="64">
        <v>70000.0</v>
      </c>
      <c r="F50" s="55">
        <f>E50/'Dados CTI'!$A$9*C50</f>
        <v>0</v>
      </c>
      <c r="G50" s="55">
        <f>E50*'Dados CTI'!$A$11/1500*Custo!C50</f>
        <v>0</v>
      </c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</row>
    <row r="51" ht="33.0" customHeight="1">
      <c r="A51" s="51"/>
      <c r="B51" s="63" t="s">
        <v>57</v>
      </c>
      <c r="C51" s="51">
        <v>0.0</v>
      </c>
      <c r="D51" s="64">
        <v>40000.0</v>
      </c>
      <c r="E51" s="64">
        <v>40000.0</v>
      </c>
      <c r="F51" s="55">
        <f>E51/'Dados CTI'!$A$9*C51</f>
        <v>0</v>
      </c>
      <c r="G51" s="55">
        <f>E51*'Dados CTI'!$A$11/1500*Custo!C51</f>
        <v>0</v>
      </c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</row>
    <row r="52" ht="33.0" customHeight="1">
      <c r="A52" s="51"/>
      <c r="B52" s="63" t="s">
        <v>58</v>
      </c>
      <c r="C52" s="51">
        <v>0.0</v>
      </c>
      <c r="D52" s="64">
        <v>50000.0</v>
      </c>
      <c r="E52" s="64">
        <v>50000.0</v>
      </c>
      <c r="F52" s="55">
        <f>E52/'Dados CTI'!$A$9*C52</f>
        <v>0</v>
      </c>
      <c r="G52" s="55">
        <f>E52*'Dados CTI'!$A$11/1500*Custo!C52</f>
        <v>0</v>
      </c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</row>
    <row r="53" ht="33.0" customHeight="1">
      <c r="A53" s="51"/>
      <c r="B53" s="63" t="s">
        <v>59</v>
      </c>
      <c r="C53" s="51">
        <v>0.0</v>
      </c>
      <c r="D53" s="66">
        <v>1508000.0</v>
      </c>
      <c r="E53" s="66">
        <v>1508000.0</v>
      </c>
      <c r="F53" s="55">
        <f>E53/'Dados CTI'!$A$9*C53</f>
        <v>0</v>
      </c>
      <c r="G53" s="55">
        <f>E53*'Dados CTI'!$A$11/1500*Custo!C53</f>
        <v>0</v>
      </c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</row>
    <row r="54" ht="33.0" customHeight="1">
      <c r="A54" s="51"/>
      <c r="B54" s="67" t="s">
        <v>60</v>
      </c>
      <c r="C54" s="51">
        <v>0.0</v>
      </c>
      <c r="D54" s="68">
        <v>1000000.0</v>
      </c>
      <c r="E54" s="68">
        <v>1000000.0</v>
      </c>
      <c r="F54" s="55">
        <f>E54/'Dados CTI'!$A$9*C54</f>
        <v>0</v>
      </c>
      <c r="G54" s="55">
        <f>E54*'Dados CTI'!$A$11/1500*Custo!C54</f>
        <v>0</v>
      </c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</row>
    <row r="55" ht="33.0" customHeight="1">
      <c r="A55" s="51"/>
      <c r="B55" s="67" t="s">
        <v>61</v>
      </c>
      <c r="C55" s="51">
        <v>0.0</v>
      </c>
      <c r="D55" s="68">
        <v>700000.0</v>
      </c>
      <c r="E55" s="68">
        <v>700000.0</v>
      </c>
      <c r="F55" s="55">
        <f>E55/'Dados CTI'!$A$9*C55</f>
        <v>0</v>
      </c>
      <c r="G55" s="55">
        <f>E55*'Dados CTI'!$A$11/1500*Custo!C55</f>
        <v>0</v>
      </c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</row>
    <row r="56" ht="33.0" customHeight="1">
      <c r="A56" s="51"/>
      <c r="B56" s="67" t="s">
        <v>62</v>
      </c>
      <c r="C56" s="51">
        <v>0.0</v>
      </c>
      <c r="D56" s="68">
        <v>645022.43</v>
      </c>
      <c r="E56" s="68">
        <v>645022.43</v>
      </c>
      <c r="F56" s="55">
        <f>E56/'Dados CTI'!$A$9*C56</f>
        <v>0</v>
      </c>
      <c r="G56" s="55">
        <f>E56*'Dados CTI'!$A$11/1500*Custo!C56</f>
        <v>0</v>
      </c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</row>
    <row r="57" ht="33.0" customHeight="1">
      <c r="A57" s="51"/>
      <c r="B57" s="63" t="s">
        <v>63</v>
      </c>
      <c r="C57" s="51">
        <v>0.0</v>
      </c>
      <c r="D57" s="66">
        <v>160000.0</v>
      </c>
      <c r="E57" s="66">
        <v>160000.0</v>
      </c>
      <c r="F57" s="55">
        <f>E57/'Dados CTI'!$A$9*C57</f>
        <v>0</v>
      </c>
      <c r="G57" s="55">
        <f>E57*'Dados CTI'!$A$11/1500*Custo!C57</f>
        <v>0</v>
      </c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</row>
    <row r="58" ht="33.0" customHeight="1">
      <c r="A58" s="51"/>
      <c r="B58" s="63" t="s">
        <v>64</v>
      </c>
      <c r="C58" s="51">
        <v>0.0</v>
      </c>
      <c r="D58" s="66">
        <v>170000.0</v>
      </c>
      <c r="E58" s="66">
        <v>170000.0</v>
      </c>
      <c r="F58" s="55">
        <f>E58/'Dados CTI'!$A$9*C58</f>
        <v>0</v>
      </c>
      <c r="G58" s="55">
        <f>E58*'Dados CTI'!$A$11/1500*Custo!C58</f>
        <v>0</v>
      </c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</row>
    <row r="59" ht="33.0" customHeight="1">
      <c r="A59" s="51"/>
      <c r="B59" s="63" t="s">
        <v>65</v>
      </c>
      <c r="C59" s="51">
        <v>0.0</v>
      </c>
      <c r="D59" s="66">
        <v>165000.0</v>
      </c>
      <c r="E59" s="66">
        <v>165000.0</v>
      </c>
      <c r="F59" s="55">
        <f>E59/'Dados CTI'!$A$9*C59</f>
        <v>0</v>
      </c>
      <c r="G59" s="55">
        <f>E59*'Dados CTI'!$A$11/1500*Custo!C59</f>
        <v>0</v>
      </c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</row>
    <row r="60" ht="33.0" customHeight="1">
      <c r="A60" s="51"/>
      <c r="B60" s="63" t="s">
        <v>66</v>
      </c>
      <c r="C60" s="51">
        <v>0.0</v>
      </c>
      <c r="D60" s="66">
        <v>315000.0</v>
      </c>
      <c r="E60" s="66">
        <v>315000.0</v>
      </c>
      <c r="F60" s="55">
        <f>E60/'Dados CTI'!$A$9*C60</f>
        <v>0</v>
      </c>
      <c r="G60" s="55">
        <f>E60*'Dados CTI'!$A$11/1500*Custo!C60</f>
        <v>0</v>
      </c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</row>
    <row r="61" ht="33.0" customHeight="1">
      <c r="A61" s="51"/>
      <c r="B61" s="63" t="s">
        <v>67</v>
      </c>
      <c r="C61" s="51">
        <v>0.0</v>
      </c>
      <c r="D61" s="66">
        <v>180000.0</v>
      </c>
      <c r="E61" s="66">
        <v>180000.0</v>
      </c>
      <c r="F61" s="55">
        <f>E61/'Dados CTI'!$A$9*C61</f>
        <v>0</v>
      </c>
      <c r="G61" s="55">
        <f>E61*'Dados CTI'!$A$11/1500*Custo!C61</f>
        <v>0</v>
      </c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</row>
    <row r="62" ht="33.0" customHeight="1">
      <c r="A62" s="51"/>
      <c r="B62" s="63" t="s">
        <v>68</v>
      </c>
      <c r="C62" s="51">
        <v>0.0</v>
      </c>
      <c r="D62" s="66">
        <v>120000.0</v>
      </c>
      <c r="E62" s="66">
        <v>120000.0</v>
      </c>
      <c r="F62" s="55">
        <f>E62/'Dados CTI'!$A$9*C62</f>
        <v>0</v>
      </c>
      <c r="G62" s="55">
        <f>E62*'Dados CTI'!$A$11/1500*Custo!C62</f>
        <v>0</v>
      </c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</row>
    <row r="63" ht="33.0" customHeight="1">
      <c r="A63" s="51"/>
      <c r="B63" s="63" t="s">
        <v>69</v>
      </c>
      <c r="C63" s="51">
        <v>0.0</v>
      </c>
      <c r="D63" s="66">
        <v>145000.0</v>
      </c>
      <c r="E63" s="66">
        <v>145000.0</v>
      </c>
      <c r="F63" s="55">
        <f>E63/'Dados CTI'!$A$9*C63</f>
        <v>0</v>
      </c>
      <c r="G63" s="55">
        <f>E63*'Dados CTI'!$A$11/1500*Custo!C63</f>
        <v>0</v>
      </c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</row>
    <row r="64" ht="33.0" customHeight="1">
      <c r="A64" s="51"/>
      <c r="B64" s="63" t="s">
        <v>70</v>
      </c>
      <c r="C64" s="51">
        <v>0.0</v>
      </c>
      <c r="D64" s="66">
        <v>150000.0</v>
      </c>
      <c r="E64" s="66">
        <v>150000.0</v>
      </c>
      <c r="F64" s="55">
        <f>E64/'Dados CTI'!$A$9*C64</f>
        <v>0</v>
      </c>
      <c r="G64" s="55">
        <f>E64*'Dados CTI'!$A$11/1500*Custo!C64</f>
        <v>0</v>
      </c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</row>
    <row r="65" ht="33.0" customHeight="1">
      <c r="A65" s="51"/>
      <c r="B65" s="63" t="s">
        <v>71</v>
      </c>
      <c r="C65" s="51">
        <v>0.0</v>
      </c>
      <c r="D65" s="66">
        <v>150000.0</v>
      </c>
      <c r="E65" s="66">
        <v>150000.0</v>
      </c>
      <c r="F65" s="55">
        <f>E65/'Dados CTI'!$A$9*C65</f>
        <v>0</v>
      </c>
      <c r="G65" s="55">
        <f>E65*'Dados CTI'!$A$11/1500*Custo!C65</f>
        <v>0</v>
      </c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</row>
    <row r="66" ht="33.0" customHeight="1">
      <c r="A66" s="51"/>
      <c r="B66" s="67" t="s">
        <v>72</v>
      </c>
      <c r="C66" s="51">
        <v>0.0</v>
      </c>
      <c r="D66" s="68">
        <v>300000.0</v>
      </c>
      <c r="E66" s="68">
        <v>300000.0</v>
      </c>
      <c r="F66" s="55">
        <f>E66/'Dados CTI'!$A$9*C66</f>
        <v>0</v>
      </c>
      <c r="G66" s="55">
        <f>E66*'Dados CTI'!$A$11/1500*Custo!C66</f>
        <v>0</v>
      </c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</row>
    <row r="67" ht="33.0" customHeight="1">
      <c r="A67" s="51"/>
      <c r="B67" s="63" t="s">
        <v>73</v>
      </c>
      <c r="C67" s="51">
        <v>0.0</v>
      </c>
      <c r="D67" s="66">
        <v>120000.0</v>
      </c>
      <c r="E67" s="66">
        <v>120000.0</v>
      </c>
      <c r="F67" s="55">
        <f>E67/'Dados CTI'!$A$9*C67</f>
        <v>0</v>
      </c>
      <c r="G67" s="55">
        <f>E67*'Dados CTI'!$A$11/1500*Custo!C67</f>
        <v>0</v>
      </c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</row>
    <row r="68" ht="33.0" customHeight="1">
      <c r="A68" s="51"/>
      <c r="B68" s="67" t="s">
        <v>74</v>
      </c>
      <c r="C68" s="51">
        <v>0.0</v>
      </c>
      <c r="D68" s="68">
        <v>235421.31</v>
      </c>
      <c r="E68" s="68">
        <v>235421.31</v>
      </c>
      <c r="F68" s="55">
        <f>E68/'Dados CTI'!$A$9*C68</f>
        <v>0</v>
      </c>
      <c r="G68" s="55">
        <f>E68*'Dados CTI'!$A$11/1500*Custo!C68</f>
        <v>0</v>
      </c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</row>
    <row r="69" ht="33.0" customHeight="1">
      <c r="A69" s="51"/>
      <c r="B69" s="63" t="s">
        <v>75</v>
      </c>
      <c r="C69" s="51">
        <v>0.0</v>
      </c>
      <c r="D69" s="66">
        <v>85000.0</v>
      </c>
      <c r="E69" s="66">
        <v>85000.0</v>
      </c>
      <c r="F69" s="55">
        <f>E69/'Dados CTI'!$A$9*C69</f>
        <v>0</v>
      </c>
      <c r="G69" s="55">
        <f>E69*'Dados CTI'!$A$11/1500*Custo!C69</f>
        <v>0</v>
      </c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</row>
    <row r="70" ht="33.0" customHeight="1">
      <c r="A70" s="51"/>
      <c r="B70" s="63" t="s">
        <v>76</v>
      </c>
      <c r="C70" s="51">
        <v>0.0</v>
      </c>
      <c r="D70" s="66">
        <v>70000.0</v>
      </c>
      <c r="E70" s="66">
        <v>70000.0</v>
      </c>
      <c r="F70" s="55">
        <f>E70/'Dados CTI'!$A$9*C70</f>
        <v>0</v>
      </c>
      <c r="G70" s="55">
        <f>E70*'Dados CTI'!$A$11/1500*Custo!C70</f>
        <v>0</v>
      </c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</row>
    <row r="71" ht="33.0" customHeight="1">
      <c r="A71" s="51"/>
      <c r="B71" s="67" t="s">
        <v>77</v>
      </c>
      <c r="C71" s="51">
        <v>0.0</v>
      </c>
      <c r="D71" s="68">
        <v>200000.0</v>
      </c>
      <c r="E71" s="68">
        <v>200000.0</v>
      </c>
      <c r="F71" s="55">
        <f>E71/'Dados CTI'!$A$9*C71</f>
        <v>0</v>
      </c>
      <c r="G71" s="55">
        <f>E71*'Dados CTI'!$A$11/1500*Custo!C71</f>
        <v>0</v>
      </c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</row>
    <row r="72" ht="33.0" customHeight="1">
      <c r="A72" s="51"/>
      <c r="B72" s="67" t="s">
        <v>78</v>
      </c>
      <c r="C72" s="51">
        <v>0.0</v>
      </c>
      <c r="D72" s="68">
        <v>200000.0</v>
      </c>
      <c r="E72" s="68">
        <v>200000.0</v>
      </c>
      <c r="F72" s="55">
        <f>E72/'Dados CTI'!$A$9*C72</f>
        <v>0</v>
      </c>
      <c r="G72" s="55">
        <f>E72*'Dados CTI'!$A$11/1500*Custo!C72</f>
        <v>0</v>
      </c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</row>
    <row r="73" ht="33.0" customHeight="1">
      <c r="A73" s="51"/>
      <c r="B73" s="69" t="s">
        <v>79</v>
      </c>
      <c r="C73" s="51">
        <v>0.0</v>
      </c>
      <c r="D73" s="68">
        <v>179562.5</v>
      </c>
      <c r="E73" s="68">
        <v>179562.5</v>
      </c>
      <c r="F73" s="55">
        <f>E73/'Dados CTI'!$A$9*C73</f>
        <v>0</v>
      </c>
      <c r="G73" s="55">
        <f>E73*'Dados CTI'!$A$11/1500*Custo!C73</f>
        <v>0</v>
      </c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</row>
    <row r="74" ht="33.0" customHeight="1">
      <c r="A74" s="51"/>
      <c r="B74" s="63" t="s">
        <v>80</v>
      </c>
      <c r="C74" s="51">
        <v>0.0</v>
      </c>
      <c r="D74" s="66">
        <v>60000.0</v>
      </c>
      <c r="E74" s="66">
        <v>60000.0</v>
      </c>
      <c r="F74" s="55">
        <f>E74/'Dados CTI'!$A$9*C74</f>
        <v>0</v>
      </c>
      <c r="G74" s="55">
        <f>E74*'Dados CTI'!$A$11/1500*Custo!C74</f>
        <v>0</v>
      </c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</row>
    <row r="75" ht="33.0" customHeight="1">
      <c r="A75" s="51"/>
      <c r="B75" s="63" t="s">
        <v>81</v>
      </c>
      <c r="C75" s="51">
        <v>0.0</v>
      </c>
      <c r="D75" s="66">
        <v>55000.0</v>
      </c>
      <c r="E75" s="66">
        <v>55000.0</v>
      </c>
      <c r="F75" s="55">
        <f>E75/'Dados CTI'!$A$9*C75</f>
        <v>0</v>
      </c>
      <c r="G75" s="55">
        <f>E75*'Dados CTI'!$A$11/1500*Custo!C75</f>
        <v>0</v>
      </c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</row>
    <row r="76" ht="33.0" customHeight="1">
      <c r="A76" s="51"/>
      <c r="B76" s="69" t="s">
        <v>82</v>
      </c>
      <c r="C76" s="51">
        <v>0.0</v>
      </c>
      <c r="D76" s="70">
        <v>150000.0</v>
      </c>
      <c r="E76" s="70">
        <v>150000.0</v>
      </c>
      <c r="F76" s="55">
        <f>E76/'Dados CTI'!$A$9*C76</f>
        <v>0</v>
      </c>
      <c r="G76" s="55">
        <f>E76*'Dados CTI'!$A$11/1500*Custo!C76</f>
        <v>0</v>
      </c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</row>
    <row r="77" ht="33.0" customHeight="1">
      <c r="A77" s="51"/>
      <c r="B77" s="71" t="s">
        <v>83</v>
      </c>
      <c r="C77" s="51">
        <v>0.0</v>
      </c>
      <c r="D77" s="72">
        <v>40000.0</v>
      </c>
      <c r="E77" s="72">
        <v>40000.0</v>
      </c>
      <c r="F77" s="55">
        <f>E77/'Dados CTI'!$A$9*C77</f>
        <v>0</v>
      </c>
      <c r="G77" s="55">
        <f>E77*'Dados CTI'!$A$11/1500*Custo!C77</f>
        <v>0</v>
      </c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</row>
    <row r="78" ht="33.0" customHeight="1">
      <c r="A78" s="51"/>
      <c r="B78" s="71" t="s">
        <v>84</v>
      </c>
      <c r="C78" s="51">
        <v>0.0</v>
      </c>
      <c r="D78" s="72">
        <v>80000.0</v>
      </c>
      <c r="E78" s="72">
        <v>80000.0</v>
      </c>
      <c r="F78" s="55">
        <f>E78/'Dados CTI'!$A$9*C78</f>
        <v>0</v>
      </c>
      <c r="G78" s="55">
        <f>E78*'Dados CTI'!$A$11/1500*Custo!C78</f>
        <v>0</v>
      </c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</row>
    <row r="79" ht="33.0" customHeight="1">
      <c r="A79" s="51"/>
      <c r="B79" s="71" t="s">
        <v>85</v>
      </c>
      <c r="C79" s="51">
        <v>0.0</v>
      </c>
      <c r="D79" s="72">
        <v>200000.0</v>
      </c>
      <c r="E79" s="72">
        <v>200000.0</v>
      </c>
      <c r="F79" s="55">
        <f>E79/'Dados CTI'!$A$9*C79</f>
        <v>0</v>
      </c>
      <c r="G79" s="55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</row>
    <row r="80" ht="33.0" customHeight="1">
      <c r="A80" s="51"/>
      <c r="B80" s="71" t="s">
        <v>86</v>
      </c>
      <c r="C80" s="51">
        <v>0.0</v>
      </c>
      <c r="D80" s="72">
        <v>50000.0</v>
      </c>
      <c r="E80" s="72">
        <v>50000.0</v>
      </c>
      <c r="F80" s="55">
        <f>E80/'Dados CTI'!$A$9*C80</f>
        <v>0</v>
      </c>
      <c r="G80" s="55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</row>
    <row r="81" ht="33.0" customHeight="1">
      <c r="A81" s="51"/>
      <c r="B81" s="71" t="s">
        <v>87</v>
      </c>
      <c r="C81" s="51">
        <v>0.0</v>
      </c>
      <c r="D81" s="72">
        <v>50000.0</v>
      </c>
      <c r="E81" s="72">
        <v>50000.0</v>
      </c>
      <c r="F81" s="55">
        <f>E81/'Dados CTI'!$A$9*C81</f>
        <v>0</v>
      </c>
      <c r="G81" s="55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</row>
    <row r="82" ht="33.0" customHeight="1">
      <c r="A82" s="51"/>
      <c r="B82" s="71" t="s">
        <v>88</v>
      </c>
      <c r="C82" s="51">
        <v>0.0</v>
      </c>
      <c r="D82" s="72">
        <v>1100000.0</v>
      </c>
      <c r="E82" s="72">
        <v>1100000.0</v>
      </c>
      <c r="F82" s="55"/>
      <c r="G82" s="55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</row>
    <row r="83" ht="33.0" customHeight="1">
      <c r="A83" s="51"/>
      <c r="B83" s="71" t="s">
        <v>89</v>
      </c>
      <c r="C83" s="51">
        <v>0.0</v>
      </c>
      <c r="D83" s="72">
        <v>25000.0</v>
      </c>
      <c r="E83" s="72">
        <v>25000.0</v>
      </c>
      <c r="F83" s="55"/>
      <c r="G83" s="55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</row>
    <row r="84" ht="33.0" customHeight="1">
      <c r="A84" s="51"/>
      <c r="B84" s="73" t="s">
        <v>90</v>
      </c>
      <c r="C84" s="51">
        <v>0.0</v>
      </c>
      <c r="D84" s="74">
        <v>250000.0</v>
      </c>
      <c r="E84" s="74">
        <v>250000.0</v>
      </c>
      <c r="F84" s="55"/>
      <c r="G84" s="55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</row>
    <row r="85" ht="33.0" customHeight="1">
      <c r="A85" s="51"/>
      <c r="B85" s="75" t="s">
        <v>91</v>
      </c>
      <c r="C85" s="51">
        <v>0.0</v>
      </c>
      <c r="D85" s="76">
        <v>1644.4</v>
      </c>
      <c r="E85" s="76">
        <v>1644.4</v>
      </c>
      <c r="F85" s="55"/>
      <c r="G85" s="55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</row>
    <row r="86" ht="33.0" customHeight="1">
      <c r="A86" s="51"/>
      <c r="B86" s="63" t="s">
        <v>92</v>
      </c>
      <c r="C86" s="51">
        <v>0.0</v>
      </c>
      <c r="D86" s="66">
        <v>103000.0</v>
      </c>
      <c r="E86" s="66">
        <v>103000.0</v>
      </c>
      <c r="F86" s="55"/>
      <c r="G86" s="55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</row>
    <row r="87" ht="33.0" customHeight="1">
      <c r="A87" s="51"/>
      <c r="B87" s="63" t="s">
        <v>93</v>
      </c>
      <c r="C87" s="51">
        <v>0.0</v>
      </c>
      <c r="D87" s="66">
        <v>60000.0</v>
      </c>
      <c r="E87" s="66">
        <v>60000.0</v>
      </c>
      <c r="F87" s="55"/>
      <c r="G87" s="55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</row>
    <row r="88" ht="33.0" customHeight="1">
      <c r="A88" s="51"/>
      <c r="B88" s="63" t="s">
        <v>94</v>
      </c>
      <c r="C88" s="51">
        <v>0.0</v>
      </c>
      <c r="D88" s="66">
        <v>45000.0</v>
      </c>
      <c r="E88" s="66">
        <v>45000.0</v>
      </c>
      <c r="F88" s="55"/>
      <c r="G88" s="55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</row>
    <row r="89" ht="33.0" customHeight="1">
      <c r="A89" s="51"/>
      <c r="B89" s="67" t="s">
        <v>95</v>
      </c>
      <c r="C89" s="51">
        <v>0.0</v>
      </c>
      <c r="D89" s="68">
        <v>85351.95</v>
      </c>
      <c r="E89" s="68">
        <v>85351.95</v>
      </c>
      <c r="F89" s="55"/>
      <c r="G89" s="55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</row>
    <row r="90" ht="33.0" customHeight="1">
      <c r="A90" s="51"/>
      <c r="B90" s="67" t="s">
        <v>96</v>
      </c>
      <c r="C90" s="51">
        <v>0.0</v>
      </c>
      <c r="D90" s="68">
        <v>78148.65</v>
      </c>
      <c r="E90" s="68">
        <v>78148.65</v>
      </c>
      <c r="F90" s="55"/>
      <c r="G90" s="55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</row>
    <row r="91" ht="33.0" customHeight="1">
      <c r="A91" s="51"/>
      <c r="B91" s="67" t="s">
        <v>97</v>
      </c>
      <c r="C91" s="51">
        <v>0.0</v>
      </c>
      <c r="D91" s="68">
        <v>70000.0</v>
      </c>
      <c r="E91" s="68">
        <v>70000.0</v>
      </c>
      <c r="F91" s="55"/>
      <c r="G91" s="55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</row>
    <row r="92" ht="33.0" customHeight="1">
      <c r="A92" s="51"/>
      <c r="B92" s="67" t="s">
        <v>98</v>
      </c>
      <c r="C92" s="51">
        <v>0.0</v>
      </c>
      <c r="D92" s="68">
        <v>58000.0</v>
      </c>
      <c r="E92" s="68">
        <v>58000.0</v>
      </c>
      <c r="F92" s="55"/>
      <c r="G92" s="55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</row>
    <row r="93" ht="33.0" customHeight="1">
      <c r="A93" s="51"/>
      <c r="B93" s="67" t="s">
        <v>99</v>
      </c>
      <c r="C93" s="51">
        <v>0.0</v>
      </c>
      <c r="D93" s="68">
        <v>56153.7</v>
      </c>
      <c r="E93" s="68">
        <v>56153.7</v>
      </c>
      <c r="F93" s="55"/>
      <c r="G93" s="55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</row>
    <row r="94" ht="33.0" customHeight="1">
      <c r="A94" s="51"/>
      <c r="B94" s="67" t="s">
        <v>100</v>
      </c>
      <c r="C94" s="51">
        <v>0.0</v>
      </c>
      <c r="D94" s="68">
        <v>52434.6</v>
      </c>
      <c r="E94" s="68">
        <v>52434.6</v>
      </c>
      <c r="F94" s="55"/>
      <c r="G94" s="55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</row>
    <row r="95" ht="33.0" customHeight="1">
      <c r="A95" s="51">
        <v>2.0</v>
      </c>
      <c r="B95" s="67" t="s">
        <v>101</v>
      </c>
      <c r="C95" s="51">
        <v>0.0</v>
      </c>
      <c r="D95" s="68">
        <v>50000.0</v>
      </c>
      <c r="E95" s="68">
        <v>50000.0</v>
      </c>
      <c r="F95" s="55">
        <f>E95/'Dados CTI'!$A$9*C95</f>
        <v>0</v>
      </c>
      <c r="G95" s="55">
        <f>E95*'Dados CTI'!$A$11/1500*Custo!C95</f>
        <v>0</v>
      </c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</row>
    <row r="96" ht="33.0" customHeight="1">
      <c r="A96" s="51"/>
      <c r="B96" s="67" t="s">
        <v>102</v>
      </c>
      <c r="C96" s="51">
        <v>0.0</v>
      </c>
      <c r="D96" s="68">
        <v>43094.12</v>
      </c>
      <c r="E96" s="68">
        <v>43094.12</v>
      </c>
      <c r="F96" s="55"/>
      <c r="G96" s="55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</row>
    <row r="97" ht="33.0" customHeight="1">
      <c r="A97" s="51">
        <v>3.0</v>
      </c>
      <c r="B97" s="67" t="s">
        <v>103</v>
      </c>
      <c r="C97" s="51">
        <v>0.0</v>
      </c>
      <c r="D97" s="68">
        <v>38000.0</v>
      </c>
      <c r="E97" s="68">
        <v>38000.0</v>
      </c>
      <c r="F97" s="55">
        <f>E97/'Dados CTI'!$A$9*C97</f>
        <v>0</v>
      </c>
      <c r="G97" s="55">
        <f>E97*'Dados CTI'!$A$11/1500*Custo!C97</f>
        <v>0</v>
      </c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</row>
    <row r="98" ht="33.0" customHeight="1">
      <c r="A98" s="51">
        <v>4.0</v>
      </c>
      <c r="B98" s="67" t="s">
        <v>104</v>
      </c>
      <c r="C98" s="51">
        <v>0.0</v>
      </c>
      <c r="D98" s="68">
        <v>30881.23</v>
      </c>
      <c r="E98" s="68">
        <v>30881.23</v>
      </c>
      <c r="F98" s="55">
        <f>E98/'Dados CTI'!$A$9*C98</f>
        <v>0</v>
      </c>
      <c r="G98" s="55">
        <f>E98*'Dados CTI'!$A$11/1500*Custo!C98</f>
        <v>0</v>
      </c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</row>
    <row r="99" ht="33.0" customHeight="1">
      <c r="A99" s="51">
        <v>5.0</v>
      </c>
      <c r="B99" s="67" t="s">
        <v>105</v>
      </c>
      <c r="C99" s="51">
        <v>0.0</v>
      </c>
      <c r="D99" s="68">
        <v>30000.0</v>
      </c>
      <c r="E99" s="68">
        <v>30000.0</v>
      </c>
      <c r="F99" s="55">
        <f>E99/'Dados CTI'!$A$9*C99</f>
        <v>0</v>
      </c>
      <c r="G99" s="55">
        <f>E99*'Dados CTI'!$A$11/1500*Custo!C99</f>
        <v>0</v>
      </c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</row>
    <row r="100" ht="33.0" customHeight="1">
      <c r="A100" s="51">
        <v>6.0</v>
      </c>
      <c r="B100" s="67" t="s">
        <v>106</v>
      </c>
      <c r="C100" s="51">
        <v>0.0</v>
      </c>
      <c r="D100" s="68">
        <v>30000.0</v>
      </c>
      <c r="E100" s="68">
        <v>30000.0</v>
      </c>
      <c r="F100" s="55">
        <f>E100/'Dados CTI'!$A$9*C100</f>
        <v>0</v>
      </c>
      <c r="G100" s="55">
        <f>E100*'Dados CTI'!$A$11/1500*Custo!C100</f>
        <v>0</v>
      </c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</row>
    <row r="101" ht="33.0" customHeight="1">
      <c r="A101" s="51">
        <v>7.0</v>
      </c>
      <c r="B101" s="67" t="s">
        <v>107</v>
      </c>
      <c r="C101" s="51">
        <v>0.0</v>
      </c>
      <c r="D101" s="68">
        <v>30000.0</v>
      </c>
      <c r="E101" s="68">
        <v>30000.0</v>
      </c>
      <c r="F101" s="55">
        <f>E101/'Dados CTI'!$A$9*C101</f>
        <v>0</v>
      </c>
      <c r="G101" s="55">
        <f>E101*'Dados CTI'!$A$11/1500*Custo!C101</f>
        <v>0</v>
      </c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</row>
    <row r="102" ht="33.0" customHeight="1">
      <c r="A102" s="51">
        <v>8.0</v>
      </c>
      <c r="B102" s="67" t="s">
        <v>108</v>
      </c>
      <c r="C102" s="51">
        <v>0.0</v>
      </c>
      <c r="D102" s="68">
        <v>9800.0</v>
      </c>
      <c r="E102" s="68">
        <v>9800.0</v>
      </c>
      <c r="F102" s="55">
        <f>E102/'Dados CTI'!$A$9*C102</f>
        <v>0</v>
      </c>
      <c r="G102" s="55">
        <f>E102*'Dados CTI'!$A$11/1500*Custo!C102</f>
        <v>0</v>
      </c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</row>
    <row r="103" ht="43.5" hidden="1" customHeight="1">
      <c r="A103" s="51">
        <v>9.0</v>
      </c>
      <c r="B103" s="67" t="s">
        <v>109</v>
      </c>
      <c r="C103" s="51"/>
      <c r="D103" s="68">
        <v>2225.69</v>
      </c>
      <c r="E103" s="77">
        <f t="shared" ref="E103:E144" si="1">D103*$E$33</f>
        <v>12601.85678</v>
      </c>
      <c r="F103" s="55">
        <f>E103/'Dados CTI'!$A$9*C103</f>
        <v>0</v>
      </c>
      <c r="G103" s="55">
        <f>E103*'Dados CTI'!$A$11/1500*Custo!C103</f>
        <v>0</v>
      </c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</row>
    <row r="104" ht="43.5" hidden="1" customHeight="1">
      <c r="A104" s="51">
        <v>10.0</v>
      </c>
      <c r="B104" s="63" t="s">
        <v>110</v>
      </c>
      <c r="C104" s="51"/>
      <c r="D104" s="64">
        <v>250000.0</v>
      </c>
      <c r="E104" s="77">
        <f t="shared" si="1"/>
        <v>1415500</v>
      </c>
      <c r="F104" s="55">
        <f>E104/'Dados CTI'!$A$9*C104</f>
        <v>0</v>
      </c>
      <c r="G104" s="55">
        <f>E104*'Dados CTI'!$A$11/1500*Custo!C104</f>
        <v>0</v>
      </c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</row>
    <row r="105" ht="43.5" hidden="1" customHeight="1">
      <c r="A105" s="10">
        <v>11.0</v>
      </c>
      <c r="B105" s="63" t="s">
        <v>111</v>
      </c>
      <c r="C105" s="10"/>
      <c r="D105" s="64">
        <v>210000.0</v>
      </c>
      <c r="E105" s="78">
        <f t="shared" si="1"/>
        <v>1189020</v>
      </c>
      <c r="F105" s="79">
        <f>E105/'Dados CTI'!$A$9*C105</f>
        <v>0</v>
      </c>
      <c r="G105" s="79">
        <f>E105*'Dados CTI'!$A$11/1500*Custo!C105</f>
        <v>0</v>
      </c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43.5" hidden="1" customHeight="1">
      <c r="A106" s="10">
        <v>12.0</v>
      </c>
      <c r="B106" s="63" t="s">
        <v>112</v>
      </c>
      <c r="C106" s="10"/>
      <c r="D106" s="64">
        <v>70000.0</v>
      </c>
      <c r="E106" s="78">
        <f t="shared" si="1"/>
        <v>396340</v>
      </c>
      <c r="F106" s="79">
        <f>E106/'Dados CTI'!$A$9*C106</f>
        <v>0</v>
      </c>
      <c r="G106" s="79">
        <f>E106*'Dados CTI'!$A$11/1500*Custo!C106</f>
        <v>0</v>
      </c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hidden="1" customHeight="1">
      <c r="A107" s="10">
        <v>13.0</v>
      </c>
      <c r="B107" s="63" t="s">
        <v>113</v>
      </c>
      <c r="C107" s="10"/>
      <c r="D107" s="64">
        <v>150000.0</v>
      </c>
      <c r="E107" s="78">
        <f t="shared" si="1"/>
        <v>849300</v>
      </c>
      <c r="F107" s="79">
        <f>E107/'Dados CTI'!$A$9*C107</f>
        <v>0</v>
      </c>
      <c r="G107" s="79">
        <f>E107*'Dados CTI'!$A$11/1500*Custo!C107</f>
        <v>0</v>
      </c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hidden="1" customHeight="1">
      <c r="A108" s="10">
        <v>14.0</v>
      </c>
      <c r="B108" s="63" t="s">
        <v>114</v>
      </c>
      <c r="C108" s="10"/>
      <c r="D108" s="64">
        <v>80000.0</v>
      </c>
      <c r="E108" s="78">
        <f t="shared" si="1"/>
        <v>452960</v>
      </c>
      <c r="F108" s="79">
        <f>E108/'Dados CTI'!$A$9*C108</f>
        <v>0</v>
      </c>
      <c r="G108" s="79">
        <f>E108*'Dados CTI'!$A$11/1500*Custo!C108</f>
        <v>0</v>
      </c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hidden="1" customHeight="1">
      <c r="A109" s="10">
        <v>15.0</v>
      </c>
      <c r="B109" s="63" t="s">
        <v>115</v>
      </c>
      <c r="C109" s="10"/>
      <c r="D109" s="64">
        <v>65000.0</v>
      </c>
      <c r="E109" s="78">
        <f t="shared" si="1"/>
        <v>368030</v>
      </c>
      <c r="F109" s="79">
        <f>E109/'Dados CTI'!$A$9*C109</f>
        <v>0</v>
      </c>
      <c r="G109" s="79">
        <f>E109*'Dados CTI'!$A$11/1500*Custo!C109</f>
        <v>0</v>
      </c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hidden="1" customHeight="1">
      <c r="A110" s="10">
        <v>16.0</v>
      </c>
      <c r="B110" s="63" t="s">
        <v>116</v>
      </c>
      <c r="C110" s="10"/>
      <c r="D110" s="64">
        <v>225000.0</v>
      </c>
      <c r="E110" s="78">
        <f t="shared" si="1"/>
        <v>1273950</v>
      </c>
      <c r="F110" s="79">
        <f>E110/'Dados CTI'!$A$9*C110</f>
        <v>0</v>
      </c>
      <c r="G110" s="79">
        <f>E110*'Dados CTI'!$A$11/1500*Custo!C110</f>
        <v>0</v>
      </c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hidden="1" customHeight="1">
      <c r="A111" s="10">
        <v>17.0</v>
      </c>
      <c r="B111" s="63" t="s">
        <v>50</v>
      </c>
      <c r="C111" s="10"/>
      <c r="D111" s="64">
        <v>60000.0</v>
      </c>
      <c r="E111" s="78">
        <f t="shared" si="1"/>
        <v>339720</v>
      </c>
      <c r="F111" s="79">
        <f>E111/'Dados CTI'!$A$9*C111</f>
        <v>0</v>
      </c>
      <c r="G111" s="79">
        <f>E111*'Dados CTI'!$A$11/1500*Custo!C111</f>
        <v>0</v>
      </c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hidden="1" customHeight="1">
      <c r="A112" s="10">
        <v>18.0</v>
      </c>
      <c r="B112" s="63" t="s">
        <v>117</v>
      </c>
      <c r="C112" s="10"/>
      <c r="D112" s="64">
        <v>86.0</v>
      </c>
      <c r="E112" s="78">
        <f t="shared" si="1"/>
        <v>486.932</v>
      </c>
      <c r="F112" s="79">
        <f>E112/'Dados CTI'!$A$9*C112</f>
        <v>0</v>
      </c>
      <c r="G112" s="79">
        <f>E112*'Dados CTI'!$A$11/1500*Custo!C112</f>
        <v>0</v>
      </c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hidden="1" customHeight="1">
      <c r="A113" s="10">
        <v>19.0</v>
      </c>
      <c r="B113" s="63" t="s">
        <v>118</v>
      </c>
      <c r="C113" s="10"/>
      <c r="D113" s="64">
        <v>123000.0</v>
      </c>
      <c r="E113" s="78">
        <f t="shared" si="1"/>
        <v>696426</v>
      </c>
      <c r="F113" s="79">
        <f>E113/'Dados CTI'!$A$9*C113</f>
        <v>0</v>
      </c>
      <c r="G113" s="79">
        <f>E113*'Dados CTI'!$A$11/1500*Custo!C113</f>
        <v>0</v>
      </c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hidden="1" customHeight="1">
      <c r="A114" s="10">
        <v>20.0</v>
      </c>
      <c r="B114" s="63" t="s">
        <v>119</v>
      </c>
      <c r="C114" s="10"/>
      <c r="D114" s="64">
        <v>65000.0</v>
      </c>
      <c r="E114" s="78">
        <f t="shared" si="1"/>
        <v>368030</v>
      </c>
      <c r="F114" s="79">
        <f>E114/'Dados CTI'!$A$9*C114</f>
        <v>0</v>
      </c>
      <c r="G114" s="79">
        <f>E114*'Dados CTI'!$A$11/1500*Custo!C114</f>
        <v>0</v>
      </c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hidden="1" customHeight="1">
      <c r="A115" s="10">
        <v>21.0</v>
      </c>
      <c r="B115" s="63" t="s">
        <v>120</v>
      </c>
      <c r="C115" s="10"/>
      <c r="D115" s="64">
        <v>220000.0</v>
      </c>
      <c r="E115" s="78">
        <f t="shared" si="1"/>
        <v>1245640</v>
      </c>
      <c r="F115" s="79">
        <f>E115/'Dados CTI'!$A$9*C115</f>
        <v>0</v>
      </c>
      <c r="G115" s="79">
        <f>E115*'Dados CTI'!$A$11/1500*Custo!C115</f>
        <v>0</v>
      </c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hidden="1" customHeight="1">
      <c r="A116" s="10">
        <v>22.0</v>
      </c>
      <c r="B116" s="63" t="s">
        <v>121</v>
      </c>
      <c r="C116" s="10"/>
      <c r="D116" s="64">
        <v>600000.0</v>
      </c>
      <c r="E116" s="78">
        <f t="shared" si="1"/>
        <v>3397200</v>
      </c>
      <c r="F116" s="79">
        <f>E116/'Dados CTI'!$A$9*C116</f>
        <v>0</v>
      </c>
      <c r="G116" s="79">
        <f>E116*'Dados CTI'!$A$11/1500*Custo!C116</f>
        <v>0</v>
      </c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hidden="1" customHeight="1">
      <c r="A117" s="10">
        <v>23.0</v>
      </c>
      <c r="B117" s="63" t="s">
        <v>122</v>
      </c>
      <c r="C117" s="10"/>
      <c r="D117" s="64">
        <v>400000.0</v>
      </c>
      <c r="E117" s="78">
        <f t="shared" si="1"/>
        <v>2264800</v>
      </c>
      <c r="F117" s="79">
        <f>E117/'Dados CTI'!$A$9*C117</f>
        <v>0</v>
      </c>
      <c r="G117" s="79">
        <f>E117*'Dados CTI'!$A$11/1500*Custo!C117</f>
        <v>0</v>
      </c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hidden="1" customHeight="1">
      <c r="A118" s="10">
        <v>24.0</v>
      </c>
      <c r="B118" s="63" t="s">
        <v>123</v>
      </c>
      <c r="C118" s="10"/>
      <c r="D118" s="64">
        <v>106642.26</v>
      </c>
      <c r="E118" s="78">
        <f t="shared" si="1"/>
        <v>603808.4761</v>
      </c>
      <c r="F118" s="79">
        <f>E118/'Dados CTI'!$A$9*C118</f>
        <v>0</v>
      </c>
      <c r="G118" s="79">
        <f>E118*'Dados CTI'!$A$11/1500*Custo!C118</f>
        <v>0</v>
      </c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hidden="1" customHeight="1">
      <c r="A119" s="10">
        <v>25.0</v>
      </c>
      <c r="B119" s="80" t="s">
        <v>124</v>
      </c>
      <c r="C119" s="10"/>
      <c r="D119" s="64">
        <v>10000.0</v>
      </c>
      <c r="E119" s="78">
        <f t="shared" si="1"/>
        <v>56620</v>
      </c>
      <c r="F119" s="79">
        <f>E119/'Dados CTI'!$A$9*C119</f>
        <v>0</v>
      </c>
      <c r="G119" s="79">
        <f>E119*'Dados CTI'!$A$11/1500*Custo!C119</f>
        <v>0</v>
      </c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hidden="1" customHeight="1">
      <c r="A120" s="10">
        <v>26.0</v>
      </c>
      <c r="B120" s="81" t="s">
        <v>125</v>
      </c>
      <c r="C120" s="10"/>
      <c r="D120" s="64">
        <v>516734.43</v>
      </c>
      <c r="E120" s="78">
        <f t="shared" si="1"/>
        <v>2925750.343</v>
      </c>
      <c r="F120" s="79">
        <f>E120/'Dados CTI'!$A$9*C120</f>
        <v>0</v>
      </c>
      <c r="G120" s="79">
        <f>E120*'Dados CTI'!$A$11/1500*Custo!C120</f>
        <v>0</v>
      </c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hidden="1" customHeight="1">
      <c r="A121" s="10">
        <v>27.0</v>
      </c>
      <c r="B121" s="81" t="s">
        <v>126</v>
      </c>
      <c r="C121" s="10"/>
      <c r="D121" s="82">
        <v>146510.0</v>
      </c>
      <c r="E121" s="78">
        <f t="shared" si="1"/>
        <v>829539.62</v>
      </c>
      <c r="F121" s="79">
        <f>E121/'Dados CTI'!$A$9*C121</f>
        <v>0</v>
      </c>
      <c r="G121" s="79">
        <f>E121*'Dados CTI'!$A$11/1500*Custo!C121</f>
        <v>0</v>
      </c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hidden="1" customHeight="1">
      <c r="A122" s="10">
        <v>28.0</v>
      </c>
      <c r="B122" s="81" t="s">
        <v>127</v>
      </c>
      <c r="C122" s="10"/>
      <c r="D122" s="64">
        <v>5000.0</v>
      </c>
      <c r="E122" s="78">
        <f t="shared" si="1"/>
        <v>28310</v>
      </c>
      <c r="F122" s="79">
        <f>E122/'Dados CTI'!$A$9*C122</f>
        <v>0</v>
      </c>
      <c r="G122" s="79">
        <f>E122*'Dados CTI'!$A$11/1500*Custo!C122</f>
        <v>0</v>
      </c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hidden="1" customHeight="1">
      <c r="A123" s="10">
        <v>29.0</v>
      </c>
      <c r="B123" s="81" t="s">
        <v>47</v>
      </c>
      <c r="C123" s="10"/>
      <c r="D123" s="82">
        <v>221915.12</v>
      </c>
      <c r="E123" s="78">
        <f t="shared" si="1"/>
        <v>1256483.409</v>
      </c>
      <c r="F123" s="79">
        <f>E123/'Dados CTI'!$A$9*C123</f>
        <v>0</v>
      </c>
      <c r="G123" s="79">
        <f>E123*'Dados CTI'!$A$11/1500*Custo!C123</f>
        <v>0</v>
      </c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hidden="1" customHeight="1">
      <c r="A124" s="10">
        <v>30.0</v>
      </c>
      <c r="B124" s="81" t="s">
        <v>128</v>
      </c>
      <c r="C124" s="10"/>
      <c r="D124" s="64">
        <v>221915.12</v>
      </c>
      <c r="E124" s="78">
        <f t="shared" si="1"/>
        <v>1256483.409</v>
      </c>
      <c r="F124" s="79">
        <f>E124/'Dados CTI'!$A$9*C124</f>
        <v>0</v>
      </c>
      <c r="G124" s="79">
        <f>E124*'Dados CTI'!$A$11/1500*Custo!C124</f>
        <v>0</v>
      </c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hidden="1" customHeight="1">
      <c r="A125" s="10">
        <v>31.0</v>
      </c>
      <c r="B125" s="81" t="s">
        <v>129</v>
      </c>
      <c r="C125" s="10"/>
      <c r="D125" s="64">
        <v>340236.0</v>
      </c>
      <c r="E125" s="78">
        <f t="shared" si="1"/>
        <v>1926416.232</v>
      </c>
      <c r="F125" s="79">
        <f>E125/'Dados CTI'!$A$9*C125</f>
        <v>0</v>
      </c>
      <c r="G125" s="79">
        <f>E125*'Dados CTI'!$A$11/1500*Custo!C125</f>
        <v>0</v>
      </c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hidden="1" customHeight="1">
      <c r="A126" s="10">
        <v>32.0</v>
      </c>
      <c r="B126" s="81" t="s">
        <v>46</v>
      </c>
      <c r="C126" s="10"/>
      <c r="D126" s="82">
        <v>494506.38</v>
      </c>
      <c r="E126" s="78">
        <f t="shared" si="1"/>
        <v>2799895.124</v>
      </c>
      <c r="F126" s="79">
        <f>E126/'Dados CTI'!$A$9*C126</f>
        <v>0</v>
      </c>
      <c r="G126" s="79">
        <f>E126*'Dados CTI'!$A$11/1500*Custo!C126</f>
        <v>0</v>
      </c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hidden="1" customHeight="1">
      <c r="A127" s="10">
        <v>33.0</v>
      </c>
      <c r="B127" s="81" t="s">
        <v>130</v>
      </c>
      <c r="C127" s="10"/>
      <c r="D127" s="64">
        <v>60849.9</v>
      </c>
      <c r="E127" s="78">
        <f t="shared" si="1"/>
        <v>344532.1338</v>
      </c>
      <c r="F127" s="79">
        <f>E127/'Dados CTI'!$A$9*C127</f>
        <v>0</v>
      </c>
      <c r="G127" s="79">
        <f>E127*'Dados CTI'!$A$11/1500*Custo!C127</f>
        <v>0</v>
      </c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hidden="1" customHeight="1">
      <c r="A128" s="10">
        <v>34.0</v>
      </c>
      <c r="B128" s="81" t="s">
        <v>131</v>
      </c>
      <c r="C128" s="10"/>
      <c r="D128" s="64">
        <v>122768.76</v>
      </c>
      <c r="E128" s="78">
        <f t="shared" si="1"/>
        <v>695116.7191</v>
      </c>
      <c r="F128" s="79">
        <f>E128/'Dados CTI'!$A$9*C128</f>
        <v>0</v>
      </c>
      <c r="G128" s="79">
        <f>E128*'Dados CTI'!$A$11/1500*Custo!C128</f>
        <v>0</v>
      </c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hidden="1" customHeight="1">
      <c r="A129" s="10">
        <v>35.0</v>
      </c>
      <c r="B129" s="81" t="s">
        <v>132</v>
      </c>
      <c r="C129" s="10"/>
      <c r="D129" s="64">
        <v>79062.61</v>
      </c>
      <c r="E129" s="78">
        <f t="shared" si="1"/>
        <v>447652.4978</v>
      </c>
      <c r="F129" s="79">
        <f>E129/'Dados CTI'!$A$9*C129</f>
        <v>0</v>
      </c>
      <c r="G129" s="79">
        <f>E129*'Dados CTI'!$A$11/1500*Custo!C129</f>
        <v>0</v>
      </c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hidden="1" customHeight="1">
      <c r="A130" s="10">
        <v>36.0</v>
      </c>
      <c r="B130" s="81" t="s">
        <v>133</v>
      </c>
      <c r="C130" s="10"/>
      <c r="D130" s="82">
        <v>137887.25</v>
      </c>
      <c r="E130" s="78">
        <f t="shared" si="1"/>
        <v>780717.6095</v>
      </c>
      <c r="F130" s="79">
        <f>E130/'Dados CTI'!$A$9*C130</f>
        <v>0</v>
      </c>
      <c r="G130" s="79">
        <f>E130*'Dados CTI'!$A$11/1500*Custo!C130</f>
        <v>0</v>
      </c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hidden="1" customHeight="1">
      <c r="A131" s="10">
        <v>37.0</v>
      </c>
      <c r="B131" s="81" t="s">
        <v>134</v>
      </c>
      <c r="C131" s="10"/>
      <c r="D131" s="82">
        <v>9400.0</v>
      </c>
      <c r="E131" s="78">
        <f t="shared" si="1"/>
        <v>53222.8</v>
      </c>
      <c r="F131" s="79">
        <f>E131/'Dados CTI'!$A$9*C131</f>
        <v>0</v>
      </c>
      <c r="G131" s="79">
        <f>E131*'Dados CTI'!$A$11/1500*Custo!C131</f>
        <v>0</v>
      </c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hidden="1" customHeight="1">
      <c r="A132" s="10">
        <v>38.0</v>
      </c>
      <c r="B132" s="81" t="s">
        <v>135</v>
      </c>
      <c r="C132" s="10"/>
      <c r="D132" s="82">
        <v>20863.0</v>
      </c>
      <c r="E132" s="78">
        <f t="shared" si="1"/>
        <v>118126.306</v>
      </c>
      <c r="F132" s="79">
        <f>E132/'Dados CTI'!$A$9*C132</f>
        <v>0</v>
      </c>
      <c r="G132" s="79">
        <f>E132*'Dados CTI'!$A$11/1500*Custo!C132</f>
        <v>0</v>
      </c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hidden="1" customHeight="1">
      <c r="A133" s="10">
        <v>39.0</v>
      </c>
      <c r="B133" s="81" t="s">
        <v>136</v>
      </c>
      <c r="C133" s="10"/>
      <c r="D133" s="82">
        <v>54125.0</v>
      </c>
      <c r="E133" s="78">
        <f t="shared" si="1"/>
        <v>306455.75</v>
      </c>
      <c r="F133" s="79">
        <f>E133/'Dados CTI'!$A$9*C133</f>
        <v>0</v>
      </c>
      <c r="G133" s="79">
        <f>E133*'Dados CTI'!$A$11/1500*Custo!C133</f>
        <v>0</v>
      </c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hidden="1" customHeight="1">
      <c r="A134" s="10">
        <v>40.0</v>
      </c>
      <c r="B134" s="81" t="s">
        <v>137</v>
      </c>
      <c r="C134" s="10"/>
      <c r="D134" s="82">
        <v>349201.89</v>
      </c>
      <c r="E134" s="78">
        <f t="shared" si="1"/>
        <v>1977181.101</v>
      </c>
      <c r="F134" s="79">
        <f>E134/'Dados CTI'!$A$9*C134</f>
        <v>0</v>
      </c>
      <c r="G134" s="79">
        <f>E134*'Dados CTI'!$A$11/1500*Custo!C134</f>
        <v>0</v>
      </c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hidden="1" customHeight="1">
      <c r="A135" s="10">
        <v>41.0</v>
      </c>
      <c r="B135" s="81" t="s">
        <v>138</v>
      </c>
      <c r="C135" s="10"/>
      <c r="D135" s="82">
        <v>86950.0</v>
      </c>
      <c r="E135" s="78">
        <f t="shared" si="1"/>
        <v>492310.9</v>
      </c>
      <c r="F135" s="79">
        <f>E135/'Dados CTI'!$A$9*C135</f>
        <v>0</v>
      </c>
      <c r="G135" s="79">
        <f>E135*'Dados CTI'!$A$11/1500*Custo!C135</f>
        <v>0</v>
      </c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hidden="1" customHeight="1">
      <c r="A136" s="10">
        <v>42.0</v>
      </c>
      <c r="B136" s="81" t="s">
        <v>139</v>
      </c>
      <c r="C136" s="10"/>
      <c r="D136" s="82">
        <v>134805.08</v>
      </c>
      <c r="E136" s="78">
        <f t="shared" si="1"/>
        <v>763266.363</v>
      </c>
      <c r="F136" s="79">
        <f>E136/'Dados CTI'!$A$9*C136</f>
        <v>0</v>
      </c>
      <c r="G136" s="79">
        <f>E136*'Dados CTI'!$A$11/1500*Custo!C136</f>
        <v>0</v>
      </c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hidden="1" customHeight="1">
      <c r="A137" s="10">
        <v>43.0</v>
      </c>
      <c r="B137" s="81" t="s">
        <v>140</v>
      </c>
      <c r="C137" s="10"/>
      <c r="D137" s="82">
        <v>2530293.07</v>
      </c>
      <c r="E137" s="78">
        <f t="shared" si="1"/>
        <v>14326519.36</v>
      </c>
      <c r="F137" s="79">
        <f>E137/'Dados CTI'!$A$9*C137</f>
        <v>0</v>
      </c>
      <c r="G137" s="79">
        <f>E137*'Dados CTI'!$A$11/1500*Custo!C137</f>
        <v>0</v>
      </c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hidden="1" customHeight="1">
      <c r="A138" s="10">
        <v>44.0</v>
      </c>
      <c r="B138" s="81" t="s">
        <v>141</v>
      </c>
      <c r="C138" s="10"/>
      <c r="D138" s="82">
        <v>15000.0</v>
      </c>
      <c r="E138" s="78">
        <f t="shared" si="1"/>
        <v>84930</v>
      </c>
      <c r="F138" s="79">
        <f>E138/'Dados CTI'!$A$9*C138</f>
        <v>0</v>
      </c>
      <c r="G138" s="79">
        <f>E138*'Dados CTI'!$A$11/1500*Custo!C138</f>
        <v>0</v>
      </c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hidden="1" customHeight="1">
      <c r="A139" s="10">
        <v>45.0</v>
      </c>
      <c r="B139" s="80" t="s">
        <v>142</v>
      </c>
      <c r="C139" s="10"/>
      <c r="D139" s="82">
        <v>22000.0</v>
      </c>
      <c r="E139" s="78">
        <f t="shared" si="1"/>
        <v>124564</v>
      </c>
      <c r="F139" s="79">
        <f>E139/'Dados CTI'!$A$9*C139</f>
        <v>0</v>
      </c>
      <c r="G139" s="79">
        <f>E139*'Dados CTI'!$A$11/1500*Custo!C139</f>
        <v>0</v>
      </c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hidden="1" customHeight="1">
      <c r="A140" s="10">
        <v>46.0</v>
      </c>
      <c r="B140" s="83" t="s">
        <v>143</v>
      </c>
      <c r="C140" s="10"/>
      <c r="D140" s="84">
        <v>164285.0</v>
      </c>
      <c r="E140" s="78">
        <f t="shared" si="1"/>
        <v>930181.67</v>
      </c>
      <c r="F140" s="79">
        <f>E140/'Dados CTI'!$A$9*C140</f>
        <v>0</v>
      </c>
      <c r="G140" s="79">
        <f>E140*'Dados CTI'!$A$11/1500*Custo!C140</f>
        <v>0</v>
      </c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hidden="1" customHeight="1">
      <c r="A141" s="10">
        <v>47.0</v>
      </c>
      <c r="B141" s="85"/>
      <c r="C141" s="10"/>
      <c r="D141" s="86"/>
      <c r="E141" s="78">
        <f t="shared" si="1"/>
        <v>0</v>
      </c>
      <c r="F141" s="79">
        <f>E141/'Dados CTI'!$A$9*C141</f>
        <v>0</v>
      </c>
      <c r="G141" s="79">
        <f>E141*'Dados CTI'!$A$11/1500*Custo!C141</f>
        <v>0</v>
      </c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hidden="1" customHeight="1">
      <c r="A142" s="10">
        <v>48.0</v>
      </c>
      <c r="B142" s="85"/>
      <c r="C142" s="10"/>
      <c r="D142" s="86"/>
      <c r="E142" s="78">
        <f t="shared" si="1"/>
        <v>0</v>
      </c>
      <c r="F142" s="79">
        <f>E142/'Dados CTI'!$A$9*C142</f>
        <v>0</v>
      </c>
      <c r="G142" s="79">
        <f>E142*'Dados CTI'!$A$11/1500*Custo!C142</f>
        <v>0</v>
      </c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hidden="1" customHeight="1">
      <c r="A143" s="10">
        <v>49.0</v>
      </c>
      <c r="B143" s="85"/>
      <c r="C143" s="10"/>
      <c r="D143" s="86"/>
      <c r="E143" s="78">
        <f t="shared" si="1"/>
        <v>0</v>
      </c>
      <c r="F143" s="79">
        <f>E143/'Dados CTI'!$A$9*C143</f>
        <v>0</v>
      </c>
      <c r="G143" s="79">
        <f>E143*'Dados CTI'!$A$11/1500*Custo!C143</f>
        <v>0</v>
      </c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0">
        <v>50.0</v>
      </c>
      <c r="B144" s="85"/>
      <c r="C144" s="10"/>
      <c r="D144" s="86"/>
      <c r="E144" s="78">
        <f t="shared" si="1"/>
        <v>0</v>
      </c>
      <c r="F144" s="79">
        <f>E144/'Dados CTI'!$A$9*C144</f>
        <v>0</v>
      </c>
      <c r="G144" s="79">
        <f>E144*'Dados CTI'!$A$11/1500*Custo!C144</f>
        <v>0</v>
      </c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85"/>
      <c r="C145" s="87" t="s">
        <v>144</v>
      </c>
      <c r="D145" s="88">
        <f t="shared" ref="D145:G145" si="2">SUM(D38:D144)</f>
        <v>20125777.45</v>
      </c>
      <c r="E145" s="88">
        <f t="shared" si="2"/>
        <v>66382671.35</v>
      </c>
      <c r="F145" s="88">
        <f t="shared" si="2"/>
        <v>0</v>
      </c>
      <c r="G145" s="88">
        <f t="shared" si="2"/>
        <v>0</v>
      </c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7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7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7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7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7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7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7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7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7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7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7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7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7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7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7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7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7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7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7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7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7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7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7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7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7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7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7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7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7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7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7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7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7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7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7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7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7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7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7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7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7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7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7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7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7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7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7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7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7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7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7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7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7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7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7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7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7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7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7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7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7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7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7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7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7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7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7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7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7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7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7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7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7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7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7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7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7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7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7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7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7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7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7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7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7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7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7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7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7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7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7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7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7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7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7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7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7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7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7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7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7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7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7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7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7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7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7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7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7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7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7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7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7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7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7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7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7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7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7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7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7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7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7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7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7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7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7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7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7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7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7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7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7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7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7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7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7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7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7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7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7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7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7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7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7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7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7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7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7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7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7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7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7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7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7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7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7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7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7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7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7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7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7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7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7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7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7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7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7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7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7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7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7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7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7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7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7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7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7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7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7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7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7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7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7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7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7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7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7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7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7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7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7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7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7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7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7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7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7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7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7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7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7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7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7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7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7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7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7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7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7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7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7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7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7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7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7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7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7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7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7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7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7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7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7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7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7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7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7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7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7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7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7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7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7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7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7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7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7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7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7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7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7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7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7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7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7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7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7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7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7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7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7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7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7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7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7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7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7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7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7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7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7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7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7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7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7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7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7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7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7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7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7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7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7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7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7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7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7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7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7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7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7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7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7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7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7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7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7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7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7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7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7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7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7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7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7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7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7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7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7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7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7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7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7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7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7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7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7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7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7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7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7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7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7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7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7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7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7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7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7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7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7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7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7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7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7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7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7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7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7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7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7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7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7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7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7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7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7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7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7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7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7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7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7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7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7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7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7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7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7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7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7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7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7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7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7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7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7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7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7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7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7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7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7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7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7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7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7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7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7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7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7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7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7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7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7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7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7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7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7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7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7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7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7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7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7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7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7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7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7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7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7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7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7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7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7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7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7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7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7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7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7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7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7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7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7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7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7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7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7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7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7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7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7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7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7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7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7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7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7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7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7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7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7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7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7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7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7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7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7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7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7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7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7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7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7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7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7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7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7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7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7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7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7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7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7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7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7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7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7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7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7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7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7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7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7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7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7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7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7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7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7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7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7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7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7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7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7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7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7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7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7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7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7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7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7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7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7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7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7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7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7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7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7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7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7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7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7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7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7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7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7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7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7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7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7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7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7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7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7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7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7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7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7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7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7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7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7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7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7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7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7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7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7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7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7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7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7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7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7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7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7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7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7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7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7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7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7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7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7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7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7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7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7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7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7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7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7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7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7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7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7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7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7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7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7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7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7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7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7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7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7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7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7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7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7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7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7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7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7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7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7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7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7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7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7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7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7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7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7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7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7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7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7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7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7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7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7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7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7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7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7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7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7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7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7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7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7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7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7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7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7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7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7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7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7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7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7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7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7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7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7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7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7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7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7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7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7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7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7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7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7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7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7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7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7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7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7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7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7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7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7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7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7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7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7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7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7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7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7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7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7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7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7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7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7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7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7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7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7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7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7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7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7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7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7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7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7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7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7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7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7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7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7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7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7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7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7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7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7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7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7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7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7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7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7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7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7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7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7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7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7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7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7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7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7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7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7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7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7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7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7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7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7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7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7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7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7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7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7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7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7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7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7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7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7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7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7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7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7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7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7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7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7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7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7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7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7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7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7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7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7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7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7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7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7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7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7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7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7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7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7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7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7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7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7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7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7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7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7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7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7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7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7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7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7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7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7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7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7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7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7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7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7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7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7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7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7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7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7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7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7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7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7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7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7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7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7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7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7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7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7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7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7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7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7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7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7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7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7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7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7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7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7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7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7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7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7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7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7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7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7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7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7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7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7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7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7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7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7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7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7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7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7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7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7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7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7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7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7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7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7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7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7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7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7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7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7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7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7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7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7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7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7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7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7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7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7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7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7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7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7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7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7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7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7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7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7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7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7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7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7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7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7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7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7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7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7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7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7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7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7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7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7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7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7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7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7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7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7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7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7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7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7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  <row r="1001" ht="15.75" customHeight="1">
      <c r="A1001" s="1"/>
      <c r="B1001" s="17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</row>
    <row r="1002" ht="15.75" customHeight="1">
      <c r="A1002" s="1"/>
      <c r="B1002" s="17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</row>
    <row r="1003" ht="15.75" customHeight="1">
      <c r="A1003" s="1"/>
      <c r="B1003" s="17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</row>
    <row r="1004" ht="15.75" customHeight="1">
      <c r="A1004" s="1"/>
      <c r="B1004" s="17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</row>
    <row r="1005" ht="15.75" customHeight="1">
      <c r="A1005" s="1"/>
      <c r="B1005" s="17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</row>
    <row r="1006" ht="15.75" customHeight="1">
      <c r="A1006" s="1"/>
      <c r="B1006" s="17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</row>
    <row r="1007" ht="15.75" customHeight="1">
      <c r="A1007" s="1"/>
      <c r="B1007" s="17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</row>
    <row r="1008" ht="15.75" customHeight="1">
      <c r="A1008" s="1"/>
      <c r="B1008" s="17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</row>
    <row r="1009" ht="15.75" customHeight="1">
      <c r="A1009" s="1"/>
      <c r="B1009" s="17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</row>
    <row r="1010" ht="15.75" customHeight="1">
      <c r="A1010" s="1"/>
      <c r="B1010" s="17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</row>
    <row r="1011" ht="15.75" customHeight="1">
      <c r="A1011" s="1"/>
      <c r="B1011" s="17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</row>
    <row r="1012" ht="15.75" customHeight="1">
      <c r="A1012" s="1"/>
      <c r="B1012" s="17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</row>
    <row r="1013" ht="15.75" customHeight="1">
      <c r="A1013" s="1"/>
      <c r="B1013" s="17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</row>
    <row r="1014" ht="15.75" customHeight="1">
      <c r="A1014" s="1"/>
      <c r="B1014" s="17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</row>
    <row r="1015" ht="15.75" customHeight="1">
      <c r="A1015" s="1"/>
      <c r="B1015" s="17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</row>
    <row r="1016" ht="15.75" customHeight="1">
      <c r="A1016" s="1"/>
      <c r="B1016" s="17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</row>
    <row r="1017" ht="15.75" customHeight="1">
      <c r="A1017" s="1"/>
      <c r="B1017" s="17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</row>
    <row r="1018" ht="15.75" customHeight="1">
      <c r="A1018" s="1"/>
      <c r="B1018" s="17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</row>
    <row r="1019" ht="15.75" customHeight="1">
      <c r="A1019" s="1"/>
      <c r="B1019" s="17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</row>
    <row r="1020" ht="15.75" customHeight="1">
      <c r="A1020" s="1"/>
      <c r="B1020" s="17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</row>
    <row r="1021" ht="15.75" customHeight="1">
      <c r="A1021" s="1"/>
      <c r="B1021" s="17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</row>
    <row r="1022" ht="15.75" customHeight="1">
      <c r="A1022" s="1"/>
      <c r="B1022" s="17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</row>
    <row r="1023" ht="15.75" customHeight="1">
      <c r="A1023" s="1"/>
      <c r="B1023" s="17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</row>
    <row r="1024" ht="15.75" customHeight="1">
      <c r="A1024" s="1"/>
      <c r="B1024" s="17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</row>
    <row r="1025" ht="15.75" customHeight="1">
      <c r="A1025" s="1"/>
      <c r="B1025" s="17"/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</row>
    <row r="1026" ht="15.75" customHeight="1">
      <c r="A1026" s="1"/>
      <c r="B1026" s="17"/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</row>
    <row r="1027" ht="15.75" customHeight="1">
      <c r="A1027" s="1"/>
      <c r="B1027" s="17"/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</row>
    <row r="1028" ht="15.75" customHeight="1">
      <c r="A1028" s="1"/>
      <c r="B1028" s="17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</row>
    <row r="1029" ht="15.75" customHeight="1">
      <c r="A1029" s="1"/>
      <c r="B1029" s="17"/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</row>
    <row r="1030" ht="15.75" customHeight="1">
      <c r="A1030" s="1"/>
      <c r="B1030" s="17"/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</row>
    <row r="1031" ht="15.75" customHeight="1">
      <c r="A1031" s="1"/>
      <c r="B1031" s="17"/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</row>
    <row r="1032" ht="15.75" customHeight="1">
      <c r="A1032" s="1"/>
      <c r="B1032" s="17"/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</row>
    <row r="1033" ht="15.75" customHeight="1">
      <c r="A1033" s="1"/>
      <c r="B1033" s="17"/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</row>
    <row r="1034" ht="15.75" customHeight="1">
      <c r="A1034" s="1"/>
      <c r="B1034" s="17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</row>
    <row r="1035" ht="15.75" customHeight="1">
      <c r="A1035" s="1"/>
      <c r="B1035" s="17"/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</row>
    <row r="1036" ht="15.75" customHeight="1">
      <c r="A1036" s="1"/>
      <c r="B1036" s="17"/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</row>
    <row r="1037" ht="15.75" customHeight="1">
      <c r="A1037" s="1"/>
      <c r="B1037" s="17"/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</row>
    <row r="1038" ht="15.75" customHeight="1">
      <c r="A1038" s="1"/>
      <c r="B1038" s="17"/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</row>
    <row r="1039" ht="15.75" customHeight="1">
      <c r="A1039" s="1"/>
      <c r="B1039" s="17"/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</row>
    <row r="1040" ht="15.75" customHeight="1">
      <c r="A1040" s="1"/>
      <c r="B1040" s="17"/>
      <c r="C1040" s="1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</row>
    <row r="1041" ht="15.75" customHeight="1">
      <c r="A1041" s="1"/>
      <c r="B1041" s="17"/>
      <c r="C1041" s="1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</row>
    <row r="1042" ht="15.75" customHeight="1">
      <c r="A1042" s="1"/>
      <c r="B1042" s="17"/>
      <c r="C1042" s="1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</row>
    <row r="1043" ht="15.75" customHeight="1">
      <c r="A1043" s="1"/>
      <c r="B1043" s="17"/>
      <c r="C1043" s="1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</row>
    <row r="1044" ht="15.75" customHeight="1">
      <c r="A1044" s="1"/>
      <c r="B1044" s="17"/>
      <c r="C1044" s="1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</row>
    <row r="1045" ht="15.75" customHeight="1">
      <c r="A1045" s="1"/>
      <c r="B1045" s="17"/>
      <c r="C1045" s="1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</row>
    <row r="1046" ht="15.75" customHeight="1">
      <c r="A1046" s="1"/>
      <c r="B1046" s="17"/>
      <c r="C1046" s="1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</row>
    <row r="1047" ht="15.75" customHeight="1">
      <c r="A1047" s="1"/>
      <c r="B1047" s="17"/>
      <c r="C1047" s="1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</row>
    <row r="1048" ht="15.75" customHeight="1">
      <c r="A1048" s="1"/>
      <c r="B1048" s="17"/>
      <c r="C1048" s="1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</row>
    <row r="1049" ht="15.75" customHeight="1">
      <c r="A1049" s="1"/>
      <c r="B1049" s="17"/>
      <c r="C1049" s="1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</row>
    <row r="1050" ht="15.75" customHeight="1">
      <c r="A1050" s="1"/>
      <c r="B1050" s="17"/>
      <c r="C1050" s="1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</row>
    <row r="1051" ht="15.75" customHeight="1">
      <c r="A1051" s="1"/>
      <c r="B1051" s="17"/>
      <c r="C1051" s="1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</row>
    <row r="1052" ht="15.75" customHeight="1">
      <c r="A1052" s="1"/>
      <c r="B1052" s="17"/>
      <c r="C1052" s="1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</row>
    <row r="1053" ht="15.75" customHeight="1">
      <c r="A1053" s="1"/>
      <c r="B1053" s="17"/>
      <c r="C1053" s="1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</row>
    <row r="1054" ht="15.75" customHeight="1">
      <c r="A1054" s="1"/>
      <c r="B1054" s="17"/>
      <c r="C1054" s="1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</row>
    <row r="1055" ht="15.75" customHeight="1">
      <c r="A1055" s="1"/>
      <c r="B1055" s="17"/>
      <c r="C1055" s="1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</row>
    <row r="1056" ht="15.75" customHeight="1">
      <c r="A1056" s="1"/>
      <c r="B1056" s="17"/>
      <c r="C1056" s="1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</row>
    <row r="1057" ht="15.75" customHeight="1">
      <c r="A1057" s="1"/>
      <c r="B1057" s="17"/>
      <c r="C1057" s="1"/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</row>
    <row r="1058" ht="15.75" customHeight="1">
      <c r="A1058" s="1"/>
      <c r="B1058" s="17"/>
      <c r="C1058" s="1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</row>
  </sheetData>
  <mergeCells count="2">
    <mergeCell ref="B5:C6"/>
    <mergeCell ref="F33:H33"/>
  </mergeCells>
  <printOptions/>
  <pageMargins bottom="0.7874015748031497" footer="0.0" header="0.0" left="0.5118110236220472" right="0.5118110236220472" top="0.7874015748031497"/>
  <pageSetup paperSize="9" orientation="portrait"/>
  <drawing r:id="rId2"/>
  <legacyDrawing r:id="rId3"/>
  <tableParts count="3"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5">
    <pageSetUpPr/>
  </sheetPr>
  <sheetViews>
    <sheetView showGridLines="0" workbookViewId="0"/>
  </sheetViews>
  <sheetFormatPr customHeight="1" defaultColWidth="14.43" defaultRowHeight="15.0"/>
  <cols>
    <col customWidth="1" min="1" max="1" width="8.43"/>
    <col customWidth="1" min="2" max="2" width="6.71"/>
    <col customWidth="1" min="3" max="3" width="3.71"/>
    <col customWidth="1" min="4" max="4" width="11.14"/>
    <col customWidth="1" min="5" max="9" width="9.14"/>
    <col customWidth="1" min="10" max="10" width="9.0"/>
    <col customWidth="1" min="11" max="11" width="16.86"/>
    <col customWidth="1" min="12" max="13" width="5.29"/>
    <col customWidth="1" min="14" max="26" width="8.71"/>
  </cols>
  <sheetData>
    <row r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89" t="s">
        <v>145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90"/>
      <c r="B7" s="91" t="s">
        <v>146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90"/>
      <c r="B8" s="90"/>
      <c r="C8" s="9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1"/>
      <c r="B9" s="92"/>
      <c r="C9" s="93" t="s">
        <v>147</v>
      </c>
      <c r="D9" s="42"/>
      <c r="E9" s="42"/>
      <c r="F9" s="42"/>
      <c r="G9" s="42"/>
      <c r="H9" s="42"/>
      <c r="I9" s="42"/>
      <c r="J9" s="43"/>
      <c r="K9" s="94">
        <f>SUM('serviços e suprimentos'!$C$5:$C$33)</f>
        <v>8353280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1"/>
      <c r="B10" s="95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1"/>
      <c r="B11" s="95"/>
      <c r="C11" s="96" t="s">
        <v>148</v>
      </c>
      <c r="D11" s="42"/>
      <c r="E11" s="42"/>
      <c r="F11" s="42"/>
      <c r="G11" s="42"/>
      <c r="H11" s="42"/>
      <c r="I11" s="42"/>
      <c r="J11" s="43"/>
      <c r="K11" s="3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1"/>
      <c r="B12" s="95" t="s">
        <v>149</v>
      </c>
      <c r="C12" s="97" t="s">
        <v>150</v>
      </c>
      <c r="D12" s="42"/>
      <c r="E12" s="42"/>
      <c r="F12" s="42"/>
      <c r="G12" s="42"/>
      <c r="H12" s="42"/>
      <c r="I12" s="42"/>
      <c r="J12" s="43"/>
      <c r="K12" s="98">
        <v>20023.89</v>
      </c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1"/>
      <c r="B13" s="95" t="s">
        <v>151</v>
      </c>
      <c r="C13" s="97" t="s">
        <v>5</v>
      </c>
      <c r="D13" s="42"/>
      <c r="E13" s="42"/>
      <c r="F13" s="42"/>
      <c r="G13" s="42"/>
      <c r="H13" s="42"/>
      <c r="I13" s="42"/>
      <c r="J13" s="43"/>
      <c r="K13" s="99">
        <v>0.37</v>
      </c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1"/>
      <c r="B14" s="95" t="s">
        <v>152</v>
      </c>
      <c r="C14" s="97" t="s">
        <v>6</v>
      </c>
      <c r="D14" s="42"/>
      <c r="E14" s="42"/>
      <c r="F14" s="42"/>
      <c r="G14" s="42"/>
      <c r="H14" s="42"/>
      <c r="I14" s="42"/>
      <c r="J14" s="43"/>
      <c r="K14" s="100">
        <v>4000.0</v>
      </c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1"/>
      <c r="B15" s="95" t="s">
        <v>153</v>
      </c>
      <c r="C15" s="101" t="s">
        <v>154</v>
      </c>
      <c r="D15" s="102"/>
      <c r="E15" s="102"/>
      <c r="F15" s="102"/>
      <c r="G15" s="102"/>
      <c r="H15" s="102"/>
      <c r="I15" s="102"/>
      <c r="J15" s="103"/>
      <c r="K15" s="104">
        <v>50.0</v>
      </c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>
      <c r="A16" s="1"/>
      <c r="B16" s="95" t="s">
        <v>155</v>
      </c>
      <c r="C16" s="97" t="s">
        <v>8</v>
      </c>
      <c r="D16" s="42"/>
      <c r="E16" s="42"/>
      <c r="F16" s="42"/>
      <c r="G16" s="42"/>
      <c r="H16" s="42"/>
      <c r="I16" s="42"/>
      <c r="J16" s="43"/>
      <c r="K16" s="99">
        <v>0.02</v>
      </c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1"/>
      <c r="B17" s="1"/>
      <c r="C17" s="33"/>
      <c r="D17" s="33"/>
      <c r="E17" s="33"/>
      <c r="F17" s="33"/>
      <c r="G17" s="33"/>
      <c r="H17" s="33"/>
      <c r="I17" s="33"/>
      <c r="J17" s="33"/>
      <c r="K17" s="1"/>
      <c r="L17" s="1"/>
      <c r="M17" s="105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1"/>
      <c r="B18" s="91"/>
      <c r="C18" s="96" t="s">
        <v>156</v>
      </c>
      <c r="D18" s="42"/>
      <c r="E18" s="42"/>
      <c r="F18" s="42"/>
      <c r="G18" s="42"/>
      <c r="H18" s="42"/>
      <c r="I18" s="42"/>
      <c r="J18" s="43"/>
      <c r="K18" s="4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1"/>
      <c r="B19" s="95" t="s">
        <v>157</v>
      </c>
      <c r="C19" s="106" t="s">
        <v>9</v>
      </c>
      <c r="D19" s="107"/>
      <c r="E19" s="107"/>
      <c r="F19" s="107"/>
      <c r="G19" s="107"/>
      <c r="H19" s="107"/>
      <c r="I19" s="107"/>
      <c r="J19" s="108"/>
      <c r="K19" s="109">
        <v>5000.0</v>
      </c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1"/>
      <c r="B20" s="95" t="s">
        <v>158</v>
      </c>
      <c r="C20" s="110" t="s">
        <v>11</v>
      </c>
      <c r="D20" s="7"/>
      <c r="E20" s="7"/>
      <c r="F20" s="7"/>
      <c r="G20" s="7"/>
      <c r="H20" s="7"/>
      <c r="I20" s="7"/>
      <c r="J20" s="7"/>
      <c r="K20" s="99">
        <v>0.05</v>
      </c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1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1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1"/>
      <c r="B23" s="91" t="s">
        <v>159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1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1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1"/>
      <c r="B25" s="1"/>
      <c r="C25" s="96" t="s">
        <v>148</v>
      </c>
      <c r="D25" s="42"/>
      <c r="E25" s="42"/>
      <c r="F25" s="42"/>
      <c r="G25" s="42"/>
      <c r="H25" s="42"/>
      <c r="I25" s="42"/>
      <c r="J25" s="43"/>
      <c r="K25" s="3"/>
      <c r="L25" s="1"/>
      <c r="M25" s="11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1"/>
      <c r="B26" s="95" t="s">
        <v>160</v>
      </c>
      <c r="C26" s="97" t="s">
        <v>161</v>
      </c>
      <c r="D26" s="42"/>
      <c r="E26" s="42"/>
      <c r="F26" s="42"/>
      <c r="G26" s="42"/>
      <c r="H26" s="42"/>
      <c r="I26" s="42"/>
      <c r="J26" s="43"/>
      <c r="K26" s="98">
        <f>'Áreas Alocadas'!H8</f>
        <v>5.362</v>
      </c>
      <c r="L26" s="1"/>
      <c r="M26" s="11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1"/>
      <c r="B27" s="95" t="s">
        <v>162</v>
      </c>
      <c r="C27" s="97" t="s">
        <v>20</v>
      </c>
      <c r="D27" s="42"/>
      <c r="E27" s="42"/>
      <c r="F27" s="42"/>
      <c r="G27" s="42"/>
      <c r="H27" s="42"/>
      <c r="I27" s="42"/>
      <c r="J27" s="43"/>
      <c r="K27" s="112">
        <v>36.0</v>
      </c>
      <c r="L27" s="1"/>
      <c r="M27" s="11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95" t="s">
        <v>163</v>
      </c>
      <c r="C28" s="97" t="s">
        <v>21</v>
      </c>
      <c r="D28" s="42"/>
      <c r="E28" s="42"/>
      <c r="F28" s="42"/>
      <c r="G28" s="42"/>
      <c r="H28" s="42"/>
      <c r="I28" s="42"/>
      <c r="J28" s="43"/>
      <c r="K28" s="100">
        <v>600000.0</v>
      </c>
      <c r="L28" s="1"/>
      <c r="M28" s="11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75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1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75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1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13" t="s">
        <v>164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1"/>
      <c r="B32" s="1" t="s">
        <v>165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30.0" customHeight="1">
      <c r="A33" s="1"/>
      <c r="B33" s="1"/>
      <c r="C33" s="19" t="str">
        <f>"I – O valor médio do metro quadrado construído (CMQ = R$ "&amp;TEXT(K14,"#.##0,00")&amp;")."</f>
        <v>I – O valor médio do metro quadrado construído (CMQ = R$ 4.000,000).</v>
      </c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30.0" customHeight="1">
      <c r="A34" s="1"/>
      <c r="B34" s="1"/>
      <c r="C34" s="19" t="str">
        <f>"II – Que as áreas de serviço, apoio e circulação correspondem a  "&amp;TEXT(K13,"00%")&amp;" da área total alocada ao projeto."</f>
        <v>II – Que as áreas de serviço, apoio e circulação correspondem a  37% da área total alocada ao projeto.</v>
      </c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21.0" customHeight="1">
      <c r="A35" s="1"/>
      <c r="B35" s="1"/>
      <c r="C35" s="19" t="str">
        <f>"III – Que a vida útil típica de uma edificação é de "&amp;TEXT(K15,"00")&amp;" anos, ou "&amp;TEXT(K15*12,"0##")&amp;" meses."</f>
        <v>III – Que a vida útil típica de uma edificação é de 50 anos, ou 600 meses.</v>
      </c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33.0" customHeight="1">
      <c r="A36" s="1"/>
      <c r="B36" s="17"/>
      <c r="C36" s="114" t="s">
        <v>166</v>
      </c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5.75" customHeight="1">
      <c r="A37" s="1"/>
      <c r="B37" s="1"/>
      <c r="C37" s="1"/>
      <c r="D37" s="1"/>
      <c r="E37" s="1"/>
      <c r="F37" s="1"/>
      <c r="G37" s="1"/>
      <c r="H37" s="115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5.75" customHeight="1">
      <c r="A38" s="1"/>
      <c r="B38" s="1"/>
      <c r="C38" s="1"/>
      <c r="D38" s="116" t="str">
        <f>"CMD = CMQ * (100,00% + "&amp;TEXT(K13,"#0,00%")&amp;") / (12 * VUP) =   R$ "&amp;TEXT(K14*(100%+K13)/(12*K15),"#0,000")&amp;" /m²"</f>
        <v>CMD = CMQ * (100,00% + 037%) / (12 * VUP) =   R$ 0.009 /m²</v>
      </c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5.7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45.75" customHeight="1">
      <c r="A40" s="1"/>
      <c r="B40" s="1"/>
      <c r="C40" s="114" t="s">
        <v>167</v>
      </c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5.7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15.75" customHeight="1">
      <c r="A42" s="1"/>
      <c r="B42" s="1"/>
      <c r="C42" s="1"/>
      <c r="D42" s="116" t="str">
        <f>"TDP = CMD * A * D =   R$ "&amp;TEXT(K14*(100%+K13)/(12*K15)*K26*K27,"#.##0,00")</f>
        <v>TDP = CMD * A * D =   R$ 1.763,02560</v>
      </c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15.7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5.75" customHeight="1">
      <c r="A44" s="1"/>
      <c r="B44" s="91" t="s">
        <v>168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5.75" customHeight="1">
      <c r="A45" s="1"/>
      <c r="B45" s="1" t="s">
        <v>169</v>
      </c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5.75" customHeight="1">
      <c r="A46" s="1"/>
      <c r="B46" s="1"/>
      <c r="C46" s="114" t="str">
        <f>"I – Tipicamente são gastos anualmente cerca de "&amp;TEXT(K16,"0,00%")&amp;" do valor do imóvel com conservação."</f>
        <v>I – Tipicamente são gastos anualmente cerca de 002% do valor do imóvel com conservação.</v>
      </c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28.5" customHeight="1">
      <c r="A47" s="1"/>
      <c r="B47" s="1"/>
      <c r="C47" s="114" t="str">
        <f>"II – O valor médio do metro quadrado construído (CMQ = R$ "&amp;TEXT(K14,"#.##0,00")&amp;")."</f>
        <v>II – O valor médio do metro quadrado construído (CMQ = R$ 4.000,000).</v>
      </c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30.75" customHeight="1">
      <c r="A48" s="1"/>
      <c r="B48" s="1"/>
      <c r="C48" s="114" t="str">
        <f>"III – Que as áreas de serviço, apoio e circulação correspondem a "&amp;TEXT(K13,"00%")&amp;" da área alocada ao projeto."</f>
        <v>III – Que as áreas de serviço, apoio e circulação correspondem a 37% da área alocada ao projeto.</v>
      </c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33.0" customHeight="1">
      <c r="A49" s="1"/>
      <c r="B49" s="1"/>
      <c r="C49" s="114" t="s">
        <v>170</v>
      </c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5.7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5.75" customHeight="1">
      <c r="A51" s="1"/>
      <c r="B51" s="1"/>
      <c r="C51" s="1"/>
      <c r="D51" s="116" t="str">
        <f>"CMC = CMQ * (100% + PAS) * PAMP / 12 =   R$ "&amp;TEXT(K14*(100%+K13)*K16/12,"#0,000")&amp;"/m²"</f>
        <v>CMC = CMQ * (100% + PAS) * PAMP / 12 =   R$ 0.009/m²</v>
      </c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5.7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48.0" customHeight="1">
      <c r="A53" s="1"/>
      <c r="B53" s="1"/>
      <c r="C53" s="114" t="s">
        <v>171</v>
      </c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16" t="str">
        <f>"TCP = CMD * A * D =  R$ "&amp;TEXT(K14*(100%+K13)*K16/12*K26*K27,"#.##0,00")</f>
        <v>TCP = CMD * A * D =  R$ 1.763,02560</v>
      </c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91" t="s">
        <v>172</v>
      </c>
      <c r="C57" s="1"/>
      <c r="D57" s="1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 t="str">
        <f>"Considera que a vida útil média de um equipamento de pesquisa é de "&amp;TEXT(K19,"#.##0")&amp;" h"</f>
        <v>Considera que a vida útil média de um equipamento de pesquisa é de 5000,0 h</v>
      </c>
      <c r="C58" s="1"/>
      <c r="D58" s="1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33.75" customHeight="1">
      <c r="A59" s="1"/>
      <c r="B59" s="1"/>
      <c r="C59" s="114" t="str">
        <f>"I - A depreciação por hora de utilização corresponde a 1/"&amp;TEXT(K19,"#.##0")&amp;" do valor do equipamento, o que equivale a "&amp;TEXT(1/K19,"0,000%")&amp;" do valor atualizado do equipamento (VAE)"</f>
        <v>I - A depreciação por hora de utilização corresponde a 1/5000,0 do valor do equipamento, o que equivale a 0.000% do valor atualizado do equipamento (VAE)</v>
      </c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46.5" customHeight="1">
      <c r="A60" s="1"/>
      <c r="B60" s="1"/>
      <c r="C60" s="114" t="s">
        <v>173</v>
      </c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1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16" t="str">
        <f>"CRE = VAE * "&amp;TEXT(1/K19,"0,000%")&amp;" * H"</f>
        <v>CRE = VAE * 0.000% * H</v>
      </c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16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 t="s">
        <v>174</v>
      </c>
      <c r="D64" s="116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16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16" t="str">
        <f>"TRE = Soma de todos CRE =  R$ "&amp;TEXT(Custo!C21,"#.###.##0,00")</f>
        <v>TRE = Soma de todos CRE =  R$ ,.000</v>
      </c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91" t="s">
        <v>175</v>
      </c>
      <c r="C68" s="1"/>
      <c r="D68" s="1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14" t="str">
        <f>"Considera um gasto anual médio de "&amp;TEXT(K20,"#0,00%")&amp;" do valor atualizado do equipamento (VAE)"</f>
        <v>Considera um gasto anual médio de 005% do valor atualizado do equipamento (VAE)</v>
      </c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62.25" customHeight="1">
      <c r="A70" s="1"/>
      <c r="B70" s="1"/>
      <c r="C70" s="114" t="str">
        <f>"I - Ao ser considerado que um equipamento de pesquisa de uso intensivo é usado em média 30h por semana e por 50 semanas no ano, o número de horas de uso corresponde a 30 * 50 = 1.500 h por ano. Portanto, considera-se que "&amp;TEXT(K20,"0,00%")&amp;" do valor atualizado do equipamento (VAE) é gasto a cada 1.500 h de utilização."</f>
        <v>I - Ao ser considerado que um equipamento de pesquisa de uso intensivo é usado em média 30h por semana e por 50 semanas no ano, o número de horas de uso corresponde a 30 * 50 = 1.500 h por ano. Portanto, considera-se que 005% do valor atualizado do equipamento (VAE) é gasto a cada 1.500 h de utilização.</v>
      </c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33.0" customHeight="1">
      <c r="A71" s="1"/>
      <c r="B71" s="1"/>
      <c r="C71" s="114" t="s">
        <v>176</v>
      </c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16" t="str">
        <f>"CME = VAE * "&amp;TEXT(K20,"0,00%")&amp;" * H / 1500"</f>
        <v>CME = VAE * 005% * H / 1500</v>
      </c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1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14" t="s">
        <v>177</v>
      </c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16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16" t="str">
        <f>"TME = Soma de todos os CME =  R$"&amp;TEXT(Custo!C22," #.###.##0,00")</f>
        <v>TME = Soma de todos os CME =  R$ ,.000</v>
      </c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16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91" t="s">
        <v>178</v>
      </c>
      <c r="C79" s="1"/>
      <c r="D79" s="116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48.0" customHeight="1">
      <c r="A80" s="1"/>
      <c r="B80" s="114" t="s">
        <v>179</v>
      </c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14" t="s">
        <v>180</v>
      </c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 t="s">
        <v>181</v>
      </c>
      <c r="D82" s="116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30.0" customHeight="1">
      <c r="A83" s="1"/>
      <c r="B83" s="1"/>
      <c r="C83" s="114" t="str">
        <f>"III - A correspondência das áreas de serviço, apoio e circulação a "&amp;TEXT(K13,"#0,00%")&amp;" da área alocada ao projeto."</f>
        <v>III - A correspondência das áreas de serviço, apoio e circulação a 037% da área alocada ao projeto.</v>
      </c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31.5" customHeight="1">
      <c r="A84" s="1"/>
      <c r="B84" s="1"/>
      <c r="C84" s="114" t="s">
        <v>182</v>
      </c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16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16" t="str">
        <f>"CMS = GTAS * (100,00% + "&amp;TEXT(K13,"#0,00%")&amp;") / (ATC * 12) =  R$ "&amp;TEXT(K9*(100%+K13)/(K12*12),"0,00")&amp;" /m²"</f>
        <v>CMS = GTAS * (100,00% + 037%) / (ATC * 12) =  R$ 048 /m²</v>
      </c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16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44.25" customHeight="1">
      <c r="A88" s="1"/>
      <c r="B88" s="1"/>
      <c r="C88" s="114" t="s">
        <v>183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16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16" t="str">
        <f>"TS = CMS * A * H =  R$ "&amp;TEXT(Custo!C20,"#.###.##0,00")</f>
        <v>#REF!</v>
      </c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16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91" t="s">
        <v>184</v>
      </c>
      <c r="C92" s="1"/>
      <c r="D92" s="116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91"/>
      <c r="C93" s="1"/>
      <c r="D93" s="116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91"/>
      <c r="C94" s="1"/>
      <c r="D94" s="117" t="s">
        <v>185</v>
      </c>
      <c r="E94" s="118" t="s">
        <v>186</v>
      </c>
      <c r="F94" s="42"/>
      <c r="G94" s="42"/>
      <c r="H94" s="42"/>
      <c r="I94" s="43"/>
      <c r="J94" s="119" t="s">
        <v>187</v>
      </c>
      <c r="K94" s="43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91"/>
      <c r="C95" s="1"/>
      <c r="D95" s="120" t="s">
        <v>188</v>
      </c>
      <c r="E95" s="121" t="s">
        <v>189</v>
      </c>
      <c r="F95" s="42"/>
      <c r="G95" s="42"/>
      <c r="H95" s="42"/>
      <c r="I95" s="43"/>
      <c r="J95" s="122">
        <f>Custo!C18</f>
        <v>2.5756</v>
      </c>
      <c r="K95" s="43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91"/>
      <c r="C96" s="1"/>
      <c r="D96" s="120" t="s">
        <v>190</v>
      </c>
      <c r="E96" s="121" t="s">
        <v>191</v>
      </c>
      <c r="F96" s="42"/>
      <c r="G96" s="42"/>
      <c r="H96" s="42"/>
      <c r="I96" s="43"/>
      <c r="J96" s="122">
        <f>Custo!C19</f>
        <v>2.5756</v>
      </c>
      <c r="K96" s="43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91"/>
      <c r="C97" s="1"/>
      <c r="D97" s="123" t="s">
        <v>192</v>
      </c>
      <c r="E97" s="121" t="s">
        <v>193</v>
      </c>
      <c r="F97" s="42"/>
      <c r="G97" s="42"/>
      <c r="H97" s="42"/>
      <c r="I97" s="43"/>
      <c r="J97" s="122">
        <f>Custo!C21</f>
        <v>0</v>
      </c>
      <c r="K97" s="43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91"/>
      <c r="C98" s="1"/>
      <c r="D98" s="120" t="s">
        <v>194</v>
      </c>
      <c r="E98" s="121" t="s">
        <v>195</v>
      </c>
      <c r="F98" s="42"/>
      <c r="G98" s="42"/>
      <c r="H98" s="42"/>
      <c r="I98" s="43"/>
      <c r="J98" s="122">
        <f>Custo!C22</f>
        <v>0</v>
      </c>
      <c r="K98" s="43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91"/>
      <c r="C99" s="1"/>
      <c r="D99" s="120" t="s">
        <v>196</v>
      </c>
      <c r="E99" s="121" t="s">
        <v>197</v>
      </c>
      <c r="F99" s="42"/>
      <c r="G99" s="42"/>
      <c r="H99" s="42"/>
      <c r="I99" s="43"/>
      <c r="J99" s="122" t="str">
        <f>Custo!C20</f>
        <v>#REF!</v>
      </c>
      <c r="K99" s="43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91"/>
      <c r="C100" s="1"/>
      <c r="D100" s="120"/>
      <c r="E100" s="121" t="s">
        <v>198</v>
      </c>
      <c r="F100" s="42"/>
      <c r="G100" s="42"/>
      <c r="H100" s="42"/>
      <c r="I100" s="43"/>
      <c r="J100" s="122" t="str">
        <f>Custo!C23</f>
        <v>#REF!</v>
      </c>
      <c r="K100" s="43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91"/>
      <c r="C101" s="1"/>
      <c r="D101" s="120"/>
      <c r="E101" s="121" t="s">
        <v>199</v>
      </c>
      <c r="F101" s="42"/>
      <c r="G101" s="42"/>
      <c r="H101" s="42"/>
      <c r="I101" s="43"/>
      <c r="J101" s="122">
        <f>Custo!C26</f>
        <v>0.05</v>
      </c>
      <c r="K101" s="43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91"/>
      <c r="C102" s="1"/>
      <c r="D102" s="120"/>
      <c r="E102" s="124" t="s">
        <v>144</v>
      </c>
      <c r="F102" s="42"/>
      <c r="G102" s="42"/>
      <c r="H102" s="42"/>
      <c r="I102" s="43"/>
      <c r="J102" s="125" t="str">
        <f>Custo!C28</f>
        <v>#REF!</v>
      </c>
      <c r="K102" s="43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16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16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16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16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16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16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16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16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16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16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16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16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16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16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16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16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16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16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16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16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16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16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16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16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16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16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16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16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16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16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16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16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16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16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16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16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16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52">
    <mergeCell ref="C9:J9"/>
    <mergeCell ref="C11:J11"/>
    <mergeCell ref="C12:J12"/>
    <mergeCell ref="C13:J13"/>
    <mergeCell ref="C14:J14"/>
    <mergeCell ref="C15:J15"/>
    <mergeCell ref="C16:J16"/>
    <mergeCell ref="C18:J18"/>
    <mergeCell ref="C19:J19"/>
    <mergeCell ref="C25:J25"/>
    <mergeCell ref="C26:J26"/>
    <mergeCell ref="C27:J27"/>
    <mergeCell ref="C28:J28"/>
    <mergeCell ref="C33:K33"/>
    <mergeCell ref="C34:K34"/>
    <mergeCell ref="C35:K35"/>
    <mergeCell ref="C36:K36"/>
    <mergeCell ref="C40:K40"/>
    <mergeCell ref="C46:K46"/>
    <mergeCell ref="C47:K47"/>
    <mergeCell ref="C48:K48"/>
    <mergeCell ref="C49:K49"/>
    <mergeCell ref="C53:K53"/>
    <mergeCell ref="C59:K59"/>
    <mergeCell ref="C60:K60"/>
    <mergeCell ref="B69:K69"/>
    <mergeCell ref="C70:K70"/>
    <mergeCell ref="C71:K71"/>
    <mergeCell ref="C75:K75"/>
    <mergeCell ref="B80:K80"/>
    <mergeCell ref="C81:K81"/>
    <mergeCell ref="C83:K83"/>
    <mergeCell ref="C84:K84"/>
    <mergeCell ref="C88:K88"/>
    <mergeCell ref="J94:K94"/>
    <mergeCell ref="E94:I94"/>
    <mergeCell ref="E95:I95"/>
    <mergeCell ref="J95:K95"/>
    <mergeCell ref="E96:I96"/>
    <mergeCell ref="J96:K96"/>
    <mergeCell ref="E97:I97"/>
    <mergeCell ref="J97:K97"/>
    <mergeCell ref="E101:I101"/>
    <mergeCell ref="E102:I102"/>
    <mergeCell ref="J102:K102"/>
    <mergeCell ref="E98:I98"/>
    <mergeCell ref="J98:K98"/>
    <mergeCell ref="E99:I99"/>
    <mergeCell ref="J99:K99"/>
    <mergeCell ref="E100:I100"/>
    <mergeCell ref="J100:K100"/>
    <mergeCell ref="J101:K101"/>
  </mergeCells>
  <printOptions/>
  <pageMargins bottom="0.7874015748031497" footer="0.0" header="0.0" left="0.5118110236220472" right="0.5118110236220472" top="0.7874015748031497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2">
    <pageSetUpPr/>
  </sheetPr>
  <sheetViews>
    <sheetView showGridLines="0" workbookViewId="0"/>
  </sheetViews>
  <sheetFormatPr customHeight="1" defaultColWidth="14.43" defaultRowHeight="15.0"/>
  <cols>
    <col customWidth="1" min="1" max="1" width="9.14"/>
    <col customWidth="1" min="2" max="2" width="3.71"/>
    <col customWidth="1" min="3" max="3" width="46.29"/>
    <col customWidth="1" hidden="1" min="4" max="4" width="25.14"/>
    <col customWidth="1" min="5" max="5" width="9.14"/>
    <col customWidth="1" min="6" max="6" width="12.14"/>
    <col customWidth="1" min="7" max="7" width="14.29"/>
    <col customWidth="1" min="8" max="8" width="9.43"/>
    <col customWidth="1" min="9" max="9" width="10.57"/>
    <col customWidth="1" min="10" max="26" width="8.71"/>
  </cols>
  <sheetData>
    <row r="1">
      <c r="A1" s="1"/>
      <c r="B1" s="1"/>
      <c r="C1" s="1"/>
      <c r="D1" s="1"/>
      <c r="E1" s="1"/>
      <c r="F1" s="1"/>
      <c r="G1" s="1"/>
      <c r="H1" s="126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1"/>
      <c r="D2" s="1"/>
      <c r="E2" s="1"/>
      <c r="F2" s="1"/>
      <c r="G2" s="1"/>
      <c r="H2" s="126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89" t="s">
        <v>200</v>
      </c>
      <c r="D3" s="127"/>
      <c r="E3" s="1"/>
      <c r="F3" s="1"/>
      <c r="G3" s="1"/>
      <c r="H3" s="126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1"/>
      <c r="D4" s="1"/>
      <c r="E4" s="1"/>
      <c r="F4" s="1"/>
      <c r="G4" s="1"/>
      <c r="H4" s="126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28" t="str">
        <f>Custo!C10</f>
        <v>Atualizada em:</v>
      </c>
      <c r="D5" s="1"/>
      <c r="E5" s="1"/>
      <c r="F5" s="1"/>
      <c r="G5" s="1"/>
      <c r="H5" s="126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"/>
      <c r="F6" s="1"/>
      <c r="G6" s="1"/>
      <c r="H6" s="126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"/>
      <c r="F7" s="1"/>
      <c r="G7" s="1"/>
      <c r="H7" s="129" t="s">
        <v>201</v>
      </c>
      <c r="I7" s="129" t="s">
        <v>202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"/>
      <c r="B8" s="26" t="s">
        <v>36</v>
      </c>
      <c r="C8" s="130" t="s">
        <v>203</v>
      </c>
      <c r="D8" s="130" t="s">
        <v>204</v>
      </c>
      <c r="E8" s="26" t="s">
        <v>205</v>
      </c>
      <c r="F8" s="26" t="s">
        <v>206</v>
      </c>
      <c r="G8" s="26" t="s">
        <v>207</v>
      </c>
      <c r="H8" s="131">
        <f>SUM(H9:H48)</f>
        <v>5.362</v>
      </c>
      <c r="I8" s="13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1"/>
      <c r="B9" s="10">
        <v>1.0</v>
      </c>
      <c r="C9" s="132" t="s">
        <v>208</v>
      </c>
      <c r="D9" s="133" t="s">
        <v>209</v>
      </c>
      <c r="E9" s="134">
        <v>53.62</v>
      </c>
      <c r="F9" s="10">
        <v>1.0</v>
      </c>
      <c r="G9" s="135">
        <v>0.1</v>
      </c>
      <c r="H9" s="131">
        <f t="shared" ref="H9:H20" si="1">E9*F9*G9</f>
        <v>5.362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1"/>
      <c r="B10" s="10">
        <v>2.0</v>
      </c>
      <c r="C10" s="132" t="s">
        <v>210</v>
      </c>
      <c r="D10" s="133" t="s">
        <v>211</v>
      </c>
      <c r="E10" s="136">
        <v>272.33</v>
      </c>
      <c r="F10" s="10"/>
      <c r="G10" s="135"/>
      <c r="H10" s="131">
        <f t="shared" si="1"/>
        <v>0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1"/>
      <c r="B11" s="10">
        <v>3.0</v>
      </c>
      <c r="C11" s="132" t="s">
        <v>212</v>
      </c>
      <c r="D11" s="133" t="s">
        <v>213</v>
      </c>
      <c r="E11" s="136">
        <v>204.0</v>
      </c>
      <c r="F11" s="10"/>
      <c r="G11" s="135"/>
      <c r="H11" s="131">
        <f t="shared" si="1"/>
        <v>0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1"/>
      <c r="B12" s="10">
        <v>4.0</v>
      </c>
      <c r="C12" s="132" t="s">
        <v>214</v>
      </c>
      <c r="D12" s="133" t="s">
        <v>215</v>
      </c>
      <c r="E12" s="134">
        <v>362.71</v>
      </c>
      <c r="F12" s="10"/>
      <c r="G12" s="135"/>
      <c r="H12" s="131">
        <f t="shared" si="1"/>
        <v>0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1"/>
      <c r="B13" s="10">
        <v>5.0</v>
      </c>
      <c r="C13" s="132" t="s">
        <v>216</v>
      </c>
      <c r="D13" s="133" t="s">
        <v>217</v>
      </c>
      <c r="E13" s="136">
        <v>250.91</v>
      </c>
      <c r="F13" s="10"/>
      <c r="G13" s="135"/>
      <c r="H13" s="131">
        <f t="shared" si="1"/>
        <v>0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ht="16.5" customHeight="1">
      <c r="A14" s="1"/>
      <c r="B14" s="10">
        <v>6.0</v>
      </c>
      <c r="C14" s="132" t="s">
        <v>218</v>
      </c>
      <c r="D14" s="133" t="s">
        <v>219</v>
      </c>
      <c r="E14" s="134">
        <v>117.45</v>
      </c>
      <c r="F14" s="10"/>
      <c r="G14" s="135"/>
      <c r="H14" s="13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ht="16.5" customHeight="1">
      <c r="A15" s="1"/>
      <c r="B15" s="10">
        <v>7.0</v>
      </c>
      <c r="C15" s="132" t="s">
        <v>220</v>
      </c>
      <c r="D15" s="133" t="s">
        <v>221</v>
      </c>
      <c r="E15" s="134">
        <v>40.96</v>
      </c>
      <c r="F15" s="10"/>
      <c r="G15" s="135"/>
      <c r="H15" s="131">
        <f t="shared" si="1"/>
        <v>0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>
      <c r="A16" s="1"/>
      <c r="B16" s="10">
        <v>8.0</v>
      </c>
      <c r="C16" s="132" t="s">
        <v>222</v>
      </c>
      <c r="D16" s="133" t="s">
        <v>223</v>
      </c>
      <c r="E16" s="134">
        <v>56.62</v>
      </c>
      <c r="F16" s="10"/>
      <c r="G16" s="135"/>
      <c r="H16" s="131">
        <f t="shared" si="1"/>
        <v>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1"/>
      <c r="B17" s="10">
        <v>9.0</v>
      </c>
      <c r="C17" s="132" t="s">
        <v>224</v>
      </c>
      <c r="D17" s="133" t="s">
        <v>219</v>
      </c>
      <c r="E17" s="134">
        <v>30.88</v>
      </c>
      <c r="F17" s="10"/>
      <c r="G17" s="135"/>
      <c r="H17" s="131">
        <f t="shared" si="1"/>
        <v>0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1"/>
      <c r="B18" s="10">
        <v>10.0</v>
      </c>
      <c r="C18" s="132" t="s">
        <v>225</v>
      </c>
      <c r="D18" s="133" t="s">
        <v>209</v>
      </c>
      <c r="E18" s="136">
        <v>52.07</v>
      </c>
      <c r="F18" s="10"/>
      <c r="G18" s="135"/>
      <c r="H18" s="131">
        <f t="shared" si="1"/>
        <v>0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1"/>
      <c r="B19" s="10">
        <v>11.0</v>
      </c>
      <c r="C19" s="132" t="s">
        <v>226</v>
      </c>
      <c r="D19" s="133" t="s">
        <v>219</v>
      </c>
      <c r="E19" s="136">
        <v>104.11</v>
      </c>
      <c r="F19" s="10"/>
      <c r="G19" s="135"/>
      <c r="H19" s="131">
        <f t="shared" si="1"/>
        <v>0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1"/>
      <c r="B20" s="10">
        <v>12.0</v>
      </c>
      <c r="C20" s="132" t="s">
        <v>227</v>
      </c>
      <c r="D20" s="133" t="s">
        <v>228</v>
      </c>
      <c r="E20" s="136">
        <v>171.16</v>
      </c>
      <c r="F20" s="10"/>
      <c r="G20" s="135"/>
      <c r="H20" s="131">
        <f t="shared" si="1"/>
        <v>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1"/>
      <c r="B21" s="10">
        <v>13.0</v>
      </c>
      <c r="C21" s="132" t="s">
        <v>229</v>
      </c>
      <c r="D21" s="133" t="s">
        <v>221</v>
      </c>
      <c r="E21" s="136" t="s">
        <v>230</v>
      </c>
      <c r="F21" s="10"/>
      <c r="G21" s="135"/>
      <c r="H21" s="131">
        <v>0.0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1"/>
      <c r="B22" s="10">
        <v>14.0</v>
      </c>
      <c r="C22" s="137" t="s">
        <v>231</v>
      </c>
      <c r="D22" s="133" t="s">
        <v>211</v>
      </c>
      <c r="E22" s="134">
        <v>40.73</v>
      </c>
      <c r="F22" s="10"/>
      <c r="G22" s="135"/>
      <c r="H22" s="131">
        <f t="shared" ref="H22:H48" si="2">E22*F22*G22</f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1"/>
      <c r="B23" s="10">
        <v>15.0</v>
      </c>
      <c r="C23" s="137" t="s">
        <v>232</v>
      </c>
      <c r="D23" s="133" t="s">
        <v>223</v>
      </c>
      <c r="E23" s="134">
        <v>43.28</v>
      </c>
      <c r="F23" s="10"/>
      <c r="G23" s="135"/>
      <c r="H23" s="131">
        <f t="shared" si="2"/>
        <v>0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1"/>
      <c r="B24" s="10">
        <v>16.0</v>
      </c>
      <c r="C24" s="137" t="s">
        <v>233</v>
      </c>
      <c r="D24" s="133" t="s">
        <v>209</v>
      </c>
      <c r="E24" s="134">
        <v>41.92</v>
      </c>
      <c r="F24" s="10"/>
      <c r="G24" s="135"/>
      <c r="H24" s="131">
        <f t="shared" si="2"/>
        <v>0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1"/>
      <c r="B25" s="10">
        <v>17.0</v>
      </c>
      <c r="C25" s="137" t="s">
        <v>234</v>
      </c>
      <c r="D25" s="133" t="s">
        <v>235</v>
      </c>
      <c r="E25" s="134">
        <v>84.55</v>
      </c>
      <c r="F25" s="10"/>
      <c r="G25" s="135"/>
      <c r="H25" s="131">
        <f t="shared" si="2"/>
        <v>0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1"/>
      <c r="B26" s="10">
        <v>18.0</v>
      </c>
      <c r="C26" s="137" t="s">
        <v>236</v>
      </c>
      <c r="D26" s="133" t="s">
        <v>237</v>
      </c>
      <c r="E26" s="138">
        <v>54.53</v>
      </c>
      <c r="F26" s="10"/>
      <c r="G26" s="135"/>
      <c r="H26" s="131">
        <f t="shared" si="2"/>
        <v>0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1"/>
      <c r="B27" s="10">
        <v>19.0</v>
      </c>
      <c r="C27" s="137" t="s">
        <v>238</v>
      </c>
      <c r="D27" s="133" t="s">
        <v>237</v>
      </c>
      <c r="E27" s="138">
        <v>72.71</v>
      </c>
      <c r="F27" s="10"/>
      <c r="G27" s="135"/>
      <c r="H27" s="131">
        <f t="shared" si="2"/>
        <v>0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0">
        <v>20.0</v>
      </c>
      <c r="C28" s="137" t="s">
        <v>239</v>
      </c>
      <c r="D28" s="133" t="s">
        <v>240</v>
      </c>
      <c r="E28" s="138">
        <v>288.5</v>
      </c>
      <c r="F28" s="10"/>
      <c r="G28" s="135"/>
      <c r="H28" s="131">
        <f t="shared" si="2"/>
        <v>0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75" customHeight="1">
      <c r="A29" s="1"/>
      <c r="B29" s="10">
        <v>21.0</v>
      </c>
      <c r="C29" s="137" t="s">
        <v>241</v>
      </c>
      <c r="D29" s="133" t="s">
        <v>209</v>
      </c>
      <c r="E29" s="138">
        <v>128.48</v>
      </c>
      <c r="F29" s="10"/>
      <c r="G29" s="135"/>
      <c r="H29" s="131">
        <f t="shared" si="2"/>
        <v>0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75" customHeight="1">
      <c r="A30" s="1"/>
      <c r="B30" s="10">
        <v>22.0</v>
      </c>
      <c r="C30" s="137" t="s">
        <v>242</v>
      </c>
      <c r="D30" s="7"/>
      <c r="E30" s="134">
        <v>22.94</v>
      </c>
      <c r="F30" s="10"/>
      <c r="G30" s="135"/>
      <c r="H30" s="139">
        <f t="shared" si="2"/>
        <v>0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0">
        <v>23.0</v>
      </c>
      <c r="C31" s="137" t="s">
        <v>243</v>
      </c>
      <c r="D31" s="7"/>
      <c r="E31" s="134">
        <v>64.76</v>
      </c>
      <c r="F31" s="10"/>
      <c r="G31" s="135"/>
      <c r="H31" s="139">
        <f t="shared" si="2"/>
        <v>0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1"/>
      <c r="B32" s="10">
        <v>24.0</v>
      </c>
      <c r="C32" s="137" t="s">
        <v>244</v>
      </c>
      <c r="D32" s="7"/>
      <c r="E32" s="134">
        <v>21.71</v>
      </c>
      <c r="F32" s="10"/>
      <c r="G32" s="135"/>
      <c r="H32" s="139">
        <f t="shared" si="2"/>
        <v>0</v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15.75" customHeight="1">
      <c r="A33" s="1"/>
      <c r="B33" s="10">
        <v>25.0</v>
      </c>
      <c r="C33" s="137" t="s">
        <v>245</v>
      </c>
      <c r="D33" s="7"/>
      <c r="E33" s="134">
        <v>287.79</v>
      </c>
      <c r="F33" s="10"/>
      <c r="G33" s="135"/>
      <c r="H33" s="139">
        <f t="shared" si="2"/>
        <v>0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5.75" customHeight="1">
      <c r="A34" s="1"/>
      <c r="B34" s="10">
        <v>26.0</v>
      </c>
      <c r="C34" s="137" t="s">
        <v>246</v>
      </c>
      <c r="D34" s="7"/>
      <c r="E34" s="134">
        <v>21.09</v>
      </c>
      <c r="F34" s="10"/>
      <c r="G34" s="135"/>
      <c r="H34" s="139">
        <f t="shared" si="2"/>
        <v>0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15.75" customHeight="1">
      <c r="A35" s="1"/>
      <c r="B35" s="10">
        <v>27.0</v>
      </c>
      <c r="C35" s="137" t="s">
        <v>247</v>
      </c>
      <c r="D35" s="7"/>
      <c r="E35" s="134">
        <v>30.55</v>
      </c>
      <c r="F35" s="10"/>
      <c r="G35" s="135"/>
      <c r="H35" s="139">
        <f t="shared" si="2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15.75" customHeight="1">
      <c r="A36" s="1"/>
      <c r="B36" s="10">
        <v>28.0</v>
      </c>
      <c r="C36" s="137" t="s">
        <v>248</v>
      </c>
      <c r="D36" s="7"/>
      <c r="E36" s="134">
        <v>12.17</v>
      </c>
      <c r="F36" s="10"/>
      <c r="G36" s="135"/>
      <c r="H36" s="139">
        <f t="shared" si="2"/>
        <v>0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5.75" customHeight="1">
      <c r="A37" s="1"/>
      <c r="B37" s="10">
        <v>29.0</v>
      </c>
      <c r="C37" s="137" t="s">
        <v>249</v>
      </c>
      <c r="D37" s="7"/>
      <c r="E37" s="134">
        <v>23.21</v>
      </c>
      <c r="F37" s="10"/>
      <c r="G37" s="135"/>
      <c r="H37" s="139">
        <f t="shared" si="2"/>
        <v>0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5.75" customHeight="1">
      <c r="A38" s="1"/>
      <c r="B38" s="10">
        <v>30.0</v>
      </c>
      <c r="C38" s="137" t="s">
        <v>250</v>
      </c>
      <c r="D38" s="7"/>
      <c r="E38" s="134">
        <v>49.85</v>
      </c>
      <c r="F38" s="10"/>
      <c r="G38" s="135"/>
      <c r="H38" s="139">
        <f t="shared" si="2"/>
        <v>0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5.75" customHeight="1">
      <c r="A39" s="1"/>
      <c r="B39" s="10">
        <v>31.0</v>
      </c>
      <c r="C39" s="137" t="s">
        <v>251</v>
      </c>
      <c r="D39" s="7"/>
      <c r="E39" s="134">
        <v>80.43</v>
      </c>
      <c r="F39" s="10"/>
      <c r="G39" s="135"/>
      <c r="H39" s="139">
        <f t="shared" si="2"/>
        <v>0</v>
      </c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15.75" customHeight="1">
      <c r="A40" s="1"/>
      <c r="B40" s="10">
        <v>32.0</v>
      </c>
      <c r="C40" s="7"/>
      <c r="D40" s="7"/>
      <c r="E40" s="140"/>
      <c r="F40" s="10"/>
      <c r="G40" s="135"/>
      <c r="H40" s="139">
        <f t="shared" si="2"/>
        <v>0</v>
      </c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5.75" customHeight="1">
      <c r="A41" s="1"/>
      <c r="B41" s="10">
        <v>33.0</v>
      </c>
      <c r="C41" s="7"/>
      <c r="D41" s="7"/>
      <c r="E41" s="140"/>
      <c r="F41" s="10"/>
      <c r="G41" s="135"/>
      <c r="H41" s="139">
        <f t="shared" si="2"/>
        <v>0</v>
      </c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15.75" customHeight="1">
      <c r="A42" s="1"/>
      <c r="B42" s="10">
        <v>34.0</v>
      </c>
      <c r="C42" s="7"/>
      <c r="D42" s="7"/>
      <c r="E42" s="140"/>
      <c r="F42" s="10"/>
      <c r="G42" s="135"/>
      <c r="H42" s="139">
        <f t="shared" si="2"/>
        <v>0</v>
      </c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15.75" customHeight="1">
      <c r="A43" s="1"/>
      <c r="B43" s="10">
        <v>35.0</v>
      </c>
      <c r="C43" s="7"/>
      <c r="D43" s="7"/>
      <c r="E43" s="140"/>
      <c r="F43" s="10"/>
      <c r="G43" s="135"/>
      <c r="H43" s="139">
        <f t="shared" si="2"/>
        <v>0</v>
      </c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5.75" customHeight="1">
      <c r="A44" s="1"/>
      <c r="B44" s="10">
        <v>36.0</v>
      </c>
      <c r="C44" s="7"/>
      <c r="D44" s="7"/>
      <c r="E44" s="140"/>
      <c r="F44" s="10"/>
      <c r="G44" s="135"/>
      <c r="H44" s="139">
        <f t="shared" si="2"/>
        <v>0</v>
      </c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5.75" customHeight="1">
      <c r="A45" s="1"/>
      <c r="B45" s="10">
        <v>37.0</v>
      </c>
      <c r="C45" s="7"/>
      <c r="D45" s="7"/>
      <c r="E45" s="140"/>
      <c r="F45" s="10"/>
      <c r="G45" s="135"/>
      <c r="H45" s="139">
        <f t="shared" si="2"/>
        <v>0</v>
      </c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5.75" customHeight="1">
      <c r="A46" s="1"/>
      <c r="B46" s="10">
        <v>38.0</v>
      </c>
      <c r="C46" s="7"/>
      <c r="D46" s="7"/>
      <c r="E46" s="140"/>
      <c r="F46" s="10"/>
      <c r="G46" s="135"/>
      <c r="H46" s="139">
        <f t="shared" si="2"/>
        <v>0</v>
      </c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15.75" customHeight="1">
      <c r="A47" s="1"/>
      <c r="B47" s="10">
        <v>39.0</v>
      </c>
      <c r="C47" s="7"/>
      <c r="D47" s="7"/>
      <c r="E47" s="140"/>
      <c r="F47" s="10"/>
      <c r="G47" s="135"/>
      <c r="H47" s="139">
        <f t="shared" si="2"/>
        <v>0</v>
      </c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15.75" customHeight="1">
      <c r="A48" s="1"/>
      <c r="B48" s="10">
        <v>40.0</v>
      </c>
      <c r="C48" s="7"/>
      <c r="D48" s="7"/>
      <c r="E48" s="140"/>
      <c r="F48" s="10"/>
      <c r="G48" s="135"/>
      <c r="H48" s="139">
        <f t="shared" si="2"/>
        <v>0</v>
      </c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15.75" customHeight="1">
      <c r="A49" s="1"/>
      <c r="B49" s="1"/>
      <c r="C49" s="1"/>
      <c r="D49" s="1"/>
      <c r="E49" s="1"/>
      <c r="F49" s="1"/>
      <c r="G49" s="1"/>
      <c r="H49" s="126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5.75" customHeight="1">
      <c r="A50" s="1"/>
      <c r="B50" s="1"/>
      <c r="C50" s="1"/>
      <c r="D50" s="1"/>
      <c r="E50" s="1"/>
      <c r="F50" s="1"/>
      <c r="G50" s="1"/>
      <c r="H50" s="126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5.75" customHeight="1">
      <c r="A51" s="1"/>
      <c r="B51" s="1"/>
      <c r="C51" s="1"/>
      <c r="D51" s="1"/>
      <c r="E51" s="1"/>
      <c r="F51" s="1"/>
      <c r="G51" s="1"/>
      <c r="H51" s="126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5.75" customHeight="1">
      <c r="A52" s="1"/>
      <c r="B52" s="1"/>
      <c r="C52" s="1"/>
      <c r="D52" s="1"/>
      <c r="E52" s="1"/>
      <c r="F52" s="1"/>
      <c r="G52" s="1"/>
      <c r="H52" s="126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5.75" customHeight="1">
      <c r="A53" s="1"/>
      <c r="B53" s="1"/>
      <c r="C53" s="1"/>
      <c r="D53" s="1"/>
      <c r="E53" s="1"/>
      <c r="F53" s="1"/>
      <c r="G53" s="1"/>
      <c r="H53" s="126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26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26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26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26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26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26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26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26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26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26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26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26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26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26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26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26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26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26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26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26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26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26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26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26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26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26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26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26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26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26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26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26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26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26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26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26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26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26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26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26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26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26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26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26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26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26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26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26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26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26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26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26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26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26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26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26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26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26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26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26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26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26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26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26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26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26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26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26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26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26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26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26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26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26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26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26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26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26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26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26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26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26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26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26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26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26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26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26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26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26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26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26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26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26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26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26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26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26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26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26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26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26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26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26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26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26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26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26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26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26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26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26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26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26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26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26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26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26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26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26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26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26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26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26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26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26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26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26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26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26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26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26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26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26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26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26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26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26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26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26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26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26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26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26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26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26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26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26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26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26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26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26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26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26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26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26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26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26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26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26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26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26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26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26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26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26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26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26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26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26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26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26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26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26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26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26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26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26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26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26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26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26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26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26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26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26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26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26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26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26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26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26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26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26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26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26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26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26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26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26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26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26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26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26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26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26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26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26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26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26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26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26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26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26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26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26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26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26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26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26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26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26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26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26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26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26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26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26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26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26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26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26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26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26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26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26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26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26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26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26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26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26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26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26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26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26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26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26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26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26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26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26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26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26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26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26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26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26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26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26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26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26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26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26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26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26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26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26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26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26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26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26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26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26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26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26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26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26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26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26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26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26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26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26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26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26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26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26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26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26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26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26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26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26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26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26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26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26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26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26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26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26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26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26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26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26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26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26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26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26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26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26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26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26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26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26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26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26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26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26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26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26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26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26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26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26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26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26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26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26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26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26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26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26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26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26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26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26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26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26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26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26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26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26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26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26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26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26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26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26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26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26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26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26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26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26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26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26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26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26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26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26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26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26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26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26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26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26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26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26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26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26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26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26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26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26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26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26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26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26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26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26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26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26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26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26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26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26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26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26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26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26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26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26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26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26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26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26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26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26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26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26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26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26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26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26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26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26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26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26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26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26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26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26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26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26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26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26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26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26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26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26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26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26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26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26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26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26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26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26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26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26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26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26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26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26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26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26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26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26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26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26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26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26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26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26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26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26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26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26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26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26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26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26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26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26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26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26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26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26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26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26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26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26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26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26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26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26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26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26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26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26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26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26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26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26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26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26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26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26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26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26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26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26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26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26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26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26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26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26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26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26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26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26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26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26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26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26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26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26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26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26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26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26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26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26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26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26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26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26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26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26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26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26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26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26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26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26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26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26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26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26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26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26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26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26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26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26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26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26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26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26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26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26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26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26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26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26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26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26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26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26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26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26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26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26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26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26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26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26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26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26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26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26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26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26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26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26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26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26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26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26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26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26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26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26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26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26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26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26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26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26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26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26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26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26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26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26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26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26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26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26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26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26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26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26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26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26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26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26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26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26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26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26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26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26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26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26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26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26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26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26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26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26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26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26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26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26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26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26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26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26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26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26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26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26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26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26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26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26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26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26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26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26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26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26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26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26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26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26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26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26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26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26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26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26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26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26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26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26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26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26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26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26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26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26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26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26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26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26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26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26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26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26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26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26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26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26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26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26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26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26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26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26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26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26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26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26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26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26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26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26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26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26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26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26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26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26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26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26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26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26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26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26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26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26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26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26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26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26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26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26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26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26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26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26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26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26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26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26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26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26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26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26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26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26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26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26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26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26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26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26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26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26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26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26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26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26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26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26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26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26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26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26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26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26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26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26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26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26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26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26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26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26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26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26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26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26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26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26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26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26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26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26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26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26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26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26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26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26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26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26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26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26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26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26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26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26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26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26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26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26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26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26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26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26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26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26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26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26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26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26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26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26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26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26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26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26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26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26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26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26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26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26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26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26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26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26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26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26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26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26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26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26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26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26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26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26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26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26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26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26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26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26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26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26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26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26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26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26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26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26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26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26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26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26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26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26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26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26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26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26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26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26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26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26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26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26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26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26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26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26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26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26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26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26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26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26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26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26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26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26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26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26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26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26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26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26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26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26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26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26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26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26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26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26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26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26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26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26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26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26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26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26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26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26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26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26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26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26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26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26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26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26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26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26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26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26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26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26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26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26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26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26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26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26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26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26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26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26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26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26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26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26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26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26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26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26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26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26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26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26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26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26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26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26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26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26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26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26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26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26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26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26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26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26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26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26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26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26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26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26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26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26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26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26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26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26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26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26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26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26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26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26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26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26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26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26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26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26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26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26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26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26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26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26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26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rintOptions/>
  <pageMargins bottom="0.787401575" footer="0.0" header="0.0" left="0.511811024" right="0.511811024" top="0.787401575"/>
  <pageSetup paperSize="9" orientation="portrait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6">
    <pageSetUpPr/>
  </sheetPr>
  <sheetViews>
    <sheetView workbookViewId="0"/>
  </sheetViews>
  <sheetFormatPr customHeight="1" defaultColWidth="14.43" defaultRowHeight="15.0"/>
  <cols>
    <col customWidth="1" min="1" max="1" width="48.57"/>
    <col customWidth="1" min="2" max="2" width="25.14"/>
    <col customWidth="1" min="3" max="3" width="12.14"/>
    <col customWidth="1" min="4" max="4" width="22.57"/>
    <col customWidth="1" min="5" max="5" width="23.86"/>
    <col customWidth="1" min="6" max="6" width="12.57"/>
    <col customWidth="1" min="7" max="7" width="13.0"/>
    <col customWidth="1" min="8" max="8" width="13.57"/>
    <col customWidth="1" min="9" max="13" width="9.14"/>
    <col customWidth="1" min="14" max="26" width="8.71"/>
  </cols>
  <sheetData>
    <row r="1" ht="21.75" customHeight="1">
      <c r="A1" s="141" t="s">
        <v>252</v>
      </c>
      <c r="B1" s="142"/>
      <c r="C1" s="17"/>
      <c r="D1" s="17"/>
      <c r="E1" s="1"/>
      <c r="F1" s="126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ht="24.75" customHeight="1">
      <c r="A2" s="141" t="s">
        <v>253</v>
      </c>
      <c r="B2" s="142"/>
      <c r="C2" s="17"/>
      <c r="D2" s="17"/>
      <c r="E2" s="1"/>
      <c r="F2" s="126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7"/>
      <c r="B3" s="142"/>
      <c r="C3" s="17"/>
      <c r="D3" s="17"/>
      <c r="E3" s="1"/>
      <c r="F3" s="126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ht="56.25" customHeight="1">
      <c r="A4" s="143" t="s">
        <v>254</v>
      </c>
      <c r="B4" s="143" t="s">
        <v>255</v>
      </c>
      <c r="C4" s="143" t="s">
        <v>256</v>
      </c>
      <c r="D4" s="143" t="s">
        <v>257</v>
      </c>
      <c r="E4" s="143" t="s">
        <v>258</v>
      </c>
      <c r="F4" s="144" t="s">
        <v>259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45" t="s">
        <v>260</v>
      </c>
      <c r="B5" s="146" t="s">
        <v>261</v>
      </c>
      <c r="C5" s="147">
        <v>2018.0</v>
      </c>
      <c r="D5" s="148" t="s">
        <v>262</v>
      </c>
      <c r="E5" s="149">
        <v>335501.19</v>
      </c>
      <c r="F5" s="150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ht="43.5" customHeight="1">
      <c r="A6" s="145" t="s">
        <v>263</v>
      </c>
      <c r="B6" s="146" t="s">
        <v>261</v>
      </c>
      <c r="C6" s="147">
        <v>2018.0</v>
      </c>
      <c r="D6" s="148" t="s">
        <v>264</v>
      </c>
      <c r="E6" s="149">
        <v>90327.24</v>
      </c>
      <c r="F6" s="150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ht="43.5" customHeight="1">
      <c r="A7" s="145" t="s">
        <v>55</v>
      </c>
      <c r="B7" s="146" t="s">
        <v>261</v>
      </c>
      <c r="C7" s="147">
        <v>2010.0</v>
      </c>
      <c r="D7" s="148" t="s">
        <v>265</v>
      </c>
      <c r="E7" s="149">
        <v>129036.13</v>
      </c>
      <c r="F7" s="150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ht="43.5" customHeight="1">
      <c r="A8" s="145" t="s">
        <v>56</v>
      </c>
      <c r="B8" s="146" t="s">
        <v>261</v>
      </c>
      <c r="C8" s="147">
        <v>2009.0</v>
      </c>
      <c r="D8" s="148" t="s">
        <v>266</v>
      </c>
      <c r="E8" s="149">
        <v>40202.16</v>
      </c>
      <c r="F8" s="150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ht="43.5" customHeight="1">
      <c r="A9" s="145" t="s">
        <v>267</v>
      </c>
      <c r="B9" s="146" t="s">
        <v>261</v>
      </c>
      <c r="C9" s="147">
        <v>2018.0</v>
      </c>
      <c r="D9" s="148" t="s">
        <v>268</v>
      </c>
      <c r="E9" s="149">
        <v>10323.11</v>
      </c>
      <c r="F9" s="150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ht="43.5" customHeight="1">
      <c r="A10" s="145" t="s">
        <v>58</v>
      </c>
      <c r="B10" s="146" t="s">
        <v>261</v>
      </c>
      <c r="C10" s="147">
        <v>2010.0</v>
      </c>
      <c r="D10" s="148" t="s">
        <v>269</v>
      </c>
      <c r="E10" s="149">
        <v>30008.4</v>
      </c>
      <c r="F10" s="150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ht="43.5" customHeight="1">
      <c r="A11" s="145" t="s">
        <v>270</v>
      </c>
      <c r="B11" s="146" t="s">
        <v>261</v>
      </c>
      <c r="C11" s="147">
        <v>2024.0</v>
      </c>
      <c r="D11" s="148" t="s">
        <v>271</v>
      </c>
      <c r="E11" s="151">
        <v>69758.09</v>
      </c>
      <c r="F11" s="150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ht="43.5" customHeight="1">
      <c r="A12" s="145" t="s">
        <v>44</v>
      </c>
      <c r="B12" s="146" t="s">
        <v>261</v>
      </c>
      <c r="C12" s="147">
        <v>2025.0</v>
      </c>
      <c r="D12" s="152" t="s">
        <v>272</v>
      </c>
      <c r="E12" s="151">
        <v>192180.05</v>
      </c>
      <c r="F12" s="150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ht="43.5" customHeight="1">
      <c r="A13" s="145" t="s">
        <v>45</v>
      </c>
      <c r="B13" s="146" t="s">
        <v>261</v>
      </c>
      <c r="C13" s="147">
        <v>2022.0</v>
      </c>
      <c r="D13" s="152" t="s">
        <v>273</v>
      </c>
      <c r="E13" s="151">
        <v>291137.76</v>
      </c>
      <c r="F13" s="150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ht="43.5" customHeight="1">
      <c r="A14" s="153" t="s">
        <v>59</v>
      </c>
      <c r="B14" s="154" t="s">
        <v>274</v>
      </c>
      <c r="C14" s="155">
        <v>2011.0</v>
      </c>
      <c r="D14" s="156" t="s">
        <v>275</v>
      </c>
      <c r="E14" s="149">
        <v>803923.66</v>
      </c>
      <c r="F14" s="150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ht="43.5" customHeight="1">
      <c r="A15" s="153" t="s">
        <v>276</v>
      </c>
      <c r="B15" s="154" t="s">
        <v>274</v>
      </c>
      <c r="C15" s="155">
        <v>2009.0</v>
      </c>
      <c r="D15" s="157" t="s">
        <v>277</v>
      </c>
      <c r="E15" s="149">
        <v>91890.65</v>
      </c>
      <c r="F15" s="150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3.5" customHeight="1">
      <c r="A16" s="153" t="s">
        <v>276</v>
      </c>
      <c r="B16" s="154" t="s">
        <v>274</v>
      </c>
      <c r="C16" s="155">
        <v>2011.0</v>
      </c>
      <c r="D16" s="157" t="s">
        <v>278</v>
      </c>
      <c r="E16" s="149">
        <v>90628.0</v>
      </c>
      <c r="F16" s="150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ht="43.5" customHeight="1">
      <c r="A17" s="153" t="s">
        <v>279</v>
      </c>
      <c r="B17" s="154" t="s">
        <v>280</v>
      </c>
      <c r="C17" s="155">
        <v>2009.0</v>
      </c>
      <c r="D17" s="157" t="s">
        <v>266</v>
      </c>
      <c r="E17" s="149">
        <v>40202.16</v>
      </c>
      <c r="F17" s="150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ht="43.5" customHeight="1">
      <c r="A18" s="153" t="s">
        <v>281</v>
      </c>
      <c r="B18" s="154" t="s">
        <v>274</v>
      </c>
      <c r="C18" s="155">
        <v>2007.0</v>
      </c>
      <c r="D18" s="157" t="s">
        <v>282</v>
      </c>
      <c r="E18" s="149">
        <v>33873.43</v>
      </c>
      <c r="F18" s="150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ht="43.5" customHeight="1">
      <c r="A19" s="153" t="s">
        <v>70</v>
      </c>
      <c r="B19" s="154" t="s">
        <v>274</v>
      </c>
      <c r="C19" s="155">
        <v>2013.0</v>
      </c>
      <c r="D19" s="157" t="s">
        <v>283</v>
      </c>
      <c r="E19" s="149">
        <v>64031.42</v>
      </c>
      <c r="F19" s="150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ht="43.5" customHeight="1">
      <c r="A20" s="153" t="s">
        <v>284</v>
      </c>
      <c r="B20" s="154" t="s">
        <v>274</v>
      </c>
      <c r="C20" s="155">
        <v>2013.0</v>
      </c>
      <c r="D20" s="157" t="s">
        <v>283</v>
      </c>
      <c r="E20" s="149">
        <v>64031.42</v>
      </c>
      <c r="F20" s="150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43.5" customHeight="1">
      <c r="A21" s="153" t="s">
        <v>285</v>
      </c>
      <c r="B21" s="154" t="s">
        <v>274</v>
      </c>
      <c r="C21" s="158">
        <v>1990.0</v>
      </c>
      <c r="D21" s="157" t="s">
        <v>286</v>
      </c>
      <c r="E21" s="159">
        <v>0.01</v>
      </c>
      <c r="F21" s="150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43.5" customHeight="1">
      <c r="A22" s="153" t="s">
        <v>287</v>
      </c>
      <c r="B22" s="154" t="s">
        <v>274</v>
      </c>
      <c r="C22" s="160">
        <v>2007.0</v>
      </c>
      <c r="D22" s="157" t="s">
        <v>288</v>
      </c>
      <c r="E22" s="159">
        <v>8705.47</v>
      </c>
      <c r="F22" s="150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43.5" customHeight="1">
      <c r="A23" s="153" t="s">
        <v>289</v>
      </c>
      <c r="B23" s="154" t="s">
        <v>274</v>
      </c>
      <c r="C23" s="160">
        <v>2015.0</v>
      </c>
      <c r="D23" s="157" t="s">
        <v>290</v>
      </c>
      <c r="E23" s="159">
        <v>2343.27</v>
      </c>
      <c r="F23" s="150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43.5" customHeight="1">
      <c r="A24" s="153" t="s">
        <v>291</v>
      </c>
      <c r="B24" s="154" t="s">
        <v>274</v>
      </c>
      <c r="C24" s="158">
        <v>2000.0</v>
      </c>
      <c r="D24" s="156" t="s">
        <v>286</v>
      </c>
      <c r="E24" s="159">
        <v>0.51</v>
      </c>
      <c r="F24" s="150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43.5" customHeight="1">
      <c r="A25" s="153" t="s">
        <v>292</v>
      </c>
      <c r="B25" s="154" t="s">
        <v>274</v>
      </c>
      <c r="C25" s="160">
        <v>2020.0</v>
      </c>
      <c r="D25" s="157" t="s">
        <v>286</v>
      </c>
      <c r="E25" s="159">
        <v>0.19</v>
      </c>
      <c r="F25" s="150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43.5" customHeight="1">
      <c r="A26" s="153" t="s">
        <v>293</v>
      </c>
      <c r="B26" s="154" t="s">
        <v>294</v>
      </c>
      <c r="C26" s="160">
        <v>2022.0</v>
      </c>
      <c r="D26" s="156" t="s">
        <v>295</v>
      </c>
      <c r="E26" s="159">
        <v>69987.98</v>
      </c>
      <c r="F26" s="150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43.5" customHeight="1">
      <c r="A27" s="153" t="s">
        <v>296</v>
      </c>
      <c r="B27" s="154" t="s">
        <v>294</v>
      </c>
      <c r="C27" s="160">
        <v>2022.0</v>
      </c>
      <c r="D27" s="157" t="s">
        <v>297</v>
      </c>
      <c r="E27" s="159">
        <v>5010.82</v>
      </c>
      <c r="F27" s="150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43.5" customHeight="1">
      <c r="A28" s="153" t="s">
        <v>298</v>
      </c>
      <c r="B28" s="154" t="s">
        <v>294</v>
      </c>
      <c r="C28" s="160">
        <v>2022.0</v>
      </c>
      <c r="D28" s="157" t="s">
        <v>299</v>
      </c>
      <c r="E28" s="159">
        <v>6465.64</v>
      </c>
      <c r="F28" s="15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43.5" customHeight="1">
      <c r="A29" s="153" t="s">
        <v>300</v>
      </c>
      <c r="B29" s="154" t="s">
        <v>294</v>
      </c>
      <c r="C29" s="160">
        <v>2022.0</v>
      </c>
      <c r="D29" s="156" t="s">
        <v>301</v>
      </c>
      <c r="E29" s="159">
        <v>3556.0</v>
      </c>
      <c r="F29" s="150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43.5" customHeight="1">
      <c r="A30" s="153" t="s">
        <v>302</v>
      </c>
      <c r="B30" s="154" t="s">
        <v>294</v>
      </c>
      <c r="C30" s="160">
        <v>2022.0</v>
      </c>
      <c r="D30" s="156" t="s">
        <v>303</v>
      </c>
      <c r="E30" s="159">
        <v>6142.47</v>
      </c>
      <c r="F30" s="150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43.5" customHeight="1">
      <c r="A31" s="153" t="s">
        <v>65</v>
      </c>
      <c r="B31" s="154" t="s">
        <v>304</v>
      </c>
      <c r="C31" s="155">
        <v>2011.0</v>
      </c>
      <c r="D31" s="156" t="s">
        <v>305</v>
      </c>
      <c r="E31" s="149">
        <v>87962.47</v>
      </c>
      <c r="F31" s="150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43.5" customHeight="1">
      <c r="A32" s="153" t="s">
        <v>306</v>
      </c>
      <c r="B32" s="154" t="s">
        <v>304</v>
      </c>
      <c r="C32" s="155">
        <v>2019.0</v>
      </c>
      <c r="D32" s="157" t="s">
        <v>307</v>
      </c>
      <c r="E32" s="161">
        <v>78150.2</v>
      </c>
      <c r="F32" s="150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43.5" customHeight="1">
      <c r="A33" s="153" t="s">
        <v>308</v>
      </c>
      <c r="B33" s="154" t="s">
        <v>304</v>
      </c>
      <c r="C33" s="155">
        <v>2001.0</v>
      </c>
      <c r="D33" s="157" t="s">
        <v>309</v>
      </c>
      <c r="E33" s="161">
        <v>77572.83</v>
      </c>
      <c r="F33" s="150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43.5" customHeight="1">
      <c r="A34" s="153" t="s">
        <v>68</v>
      </c>
      <c r="B34" s="154" t="s">
        <v>304</v>
      </c>
      <c r="C34" s="155">
        <v>2010.0</v>
      </c>
      <c r="D34" s="156" t="s">
        <v>310</v>
      </c>
      <c r="E34" s="161">
        <v>72020.17</v>
      </c>
      <c r="F34" s="150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43.5" customHeight="1">
      <c r="A35" s="162" t="s">
        <v>68</v>
      </c>
      <c r="B35" s="163" t="s">
        <v>304</v>
      </c>
      <c r="C35" s="164">
        <v>2008.0</v>
      </c>
      <c r="D35" s="165" t="s">
        <v>310</v>
      </c>
      <c r="E35" s="166">
        <v>51347.88</v>
      </c>
      <c r="F35" s="150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43.5" customHeight="1">
      <c r="A36" s="153" t="s">
        <v>81</v>
      </c>
      <c r="B36" s="154" t="s">
        <v>304</v>
      </c>
      <c r="C36" s="155">
        <v>2009.0</v>
      </c>
      <c r="D36" s="156" t="s">
        <v>311</v>
      </c>
      <c r="E36" s="161">
        <v>31587.41</v>
      </c>
      <c r="F36" s="150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43.5" customHeight="1">
      <c r="A37" s="153" t="s">
        <v>93</v>
      </c>
      <c r="B37" s="154" t="s">
        <v>304</v>
      </c>
      <c r="C37" s="155">
        <v>2008.0</v>
      </c>
      <c r="D37" s="156" t="s">
        <v>282</v>
      </c>
      <c r="E37" s="161">
        <v>25673.94</v>
      </c>
      <c r="F37" s="150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43.5" customHeight="1">
      <c r="A38" s="153" t="s">
        <v>94</v>
      </c>
      <c r="B38" s="154" t="s">
        <v>304</v>
      </c>
      <c r="C38" s="155">
        <v>2008.0</v>
      </c>
      <c r="D38" s="156" t="s">
        <v>312</v>
      </c>
      <c r="E38" s="161">
        <v>19255.46</v>
      </c>
      <c r="F38" s="150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43.5" customHeight="1">
      <c r="A39" s="167" t="s">
        <v>313</v>
      </c>
      <c r="B39" s="154" t="s">
        <v>304</v>
      </c>
      <c r="C39" s="160">
        <v>2022.0</v>
      </c>
      <c r="D39" s="156" t="s">
        <v>314</v>
      </c>
      <c r="E39" s="159">
        <v>2868.74</v>
      </c>
      <c r="F39" s="150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43.5" customHeight="1">
      <c r="A40" s="167" t="s">
        <v>315</v>
      </c>
      <c r="B40" s="154" t="s">
        <v>304</v>
      </c>
      <c r="C40" s="160">
        <v>2024.0</v>
      </c>
      <c r="D40" s="156" t="s">
        <v>316</v>
      </c>
      <c r="E40" s="159">
        <v>12807.88</v>
      </c>
      <c r="F40" s="150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43.5" customHeight="1">
      <c r="A41" s="153" t="s">
        <v>69</v>
      </c>
      <c r="B41" s="154" t="s">
        <v>317</v>
      </c>
      <c r="C41" s="155">
        <v>2012.0</v>
      </c>
      <c r="D41" s="156" t="s">
        <v>318</v>
      </c>
      <c r="E41" s="149">
        <v>70956.69</v>
      </c>
      <c r="F41" s="150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43.5" customHeight="1">
      <c r="A42" s="153" t="s">
        <v>319</v>
      </c>
      <c r="B42" s="154" t="s">
        <v>317</v>
      </c>
      <c r="C42" s="155">
        <v>2012.0</v>
      </c>
      <c r="D42" s="156" t="s">
        <v>320</v>
      </c>
      <c r="E42" s="149">
        <v>41595.3</v>
      </c>
      <c r="F42" s="150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43.5" customHeight="1">
      <c r="A43" s="168" t="s">
        <v>74</v>
      </c>
      <c r="B43" s="169" t="s">
        <v>317</v>
      </c>
      <c r="C43" s="170">
        <v>2020.0</v>
      </c>
      <c r="D43" s="156" t="s">
        <v>321</v>
      </c>
      <c r="E43" s="149">
        <v>45302.08</v>
      </c>
      <c r="F43" s="150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43.5" customHeight="1">
      <c r="A44" s="153" t="s">
        <v>322</v>
      </c>
      <c r="B44" s="154" t="s">
        <v>317</v>
      </c>
      <c r="C44" s="155">
        <v>2017.0</v>
      </c>
      <c r="D44" s="156" t="s">
        <v>323</v>
      </c>
      <c r="E44" s="149">
        <v>31136.64</v>
      </c>
      <c r="F44" s="150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43.5" customHeight="1">
      <c r="A45" s="171" t="s">
        <v>68</v>
      </c>
      <c r="B45" s="172" t="s">
        <v>317</v>
      </c>
      <c r="C45" s="173">
        <v>2010.0</v>
      </c>
      <c r="D45" s="174" t="s">
        <v>310</v>
      </c>
      <c r="E45" s="175">
        <v>72020.17</v>
      </c>
      <c r="F45" s="150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43.5" customHeight="1">
      <c r="A46" s="171" t="s">
        <v>306</v>
      </c>
      <c r="B46" s="172" t="s">
        <v>317</v>
      </c>
      <c r="C46" s="173">
        <v>2019.0</v>
      </c>
      <c r="D46" s="174" t="s">
        <v>307</v>
      </c>
      <c r="E46" s="159">
        <v>78150.2</v>
      </c>
      <c r="F46" s="150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43.5" customHeight="1">
      <c r="A47" s="176" t="s">
        <v>324</v>
      </c>
      <c r="B47" s="154" t="s">
        <v>317</v>
      </c>
      <c r="C47" s="160">
        <v>2012.0</v>
      </c>
      <c r="D47" s="157" t="s">
        <v>325</v>
      </c>
      <c r="E47" s="159">
        <v>39839.95</v>
      </c>
      <c r="F47" s="150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43.5" customHeight="1">
      <c r="A48" s="176" t="s">
        <v>326</v>
      </c>
      <c r="B48" s="154" t="s">
        <v>317</v>
      </c>
      <c r="C48" s="160">
        <v>2014.0</v>
      </c>
      <c r="D48" s="156" t="s">
        <v>327</v>
      </c>
      <c r="E48" s="159">
        <v>8910.0</v>
      </c>
      <c r="F48" s="150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43.5" customHeight="1">
      <c r="A49" s="177" t="s">
        <v>328</v>
      </c>
      <c r="B49" s="154" t="s">
        <v>317</v>
      </c>
      <c r="C49" s="160">
        <v>2012.0</v>
      </c>
      <c r="D49" s="156" t="s">
        <v>329</v>
      </c>
      <c r="E49" s="159">
        <v>16500.0</v>
      </c>
      <c r="F49" s="150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43.5" customHeight="1">
      <c r="A50" s="177" t="s">
        <v>330</v>
      </c>
      <c r="B50" s="154" t="s">
        <v>317</v>
      </c>
      <c r="C50" s="160">
        <v>2012.0</v>
      </c>
      <c r="D50" s="156" t="s">
        <v>331</v>
      </c>
      <c r="E50" s="159">
        <v>5335.63</v>
      </c>
      <c r="F50" s="150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43.5" customHeight="1">
      <c r="A51" s="177" t="s">
        <v>332</v>
      </c>
      <c r="B51" s="154" t="s">
        <v>317</v>
      </c>
      <c r="C51" s="160">
        <v>2012.0</v>
      </c>
      <c r="D51" s="156" t="s">
        <v>333</v>
      </c>
      <c r="E51" s="159">
        <v>7359.0</v>
      </c>
      <c r="F51" s="150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43.5" customHeight="1">
      <c r="A52" s="177" t="s">
        <v>334</v>
      </c>
      <c r="B52" s="154" t="s">
        <v>317</v>
      </c>
      <c r="C52" s="160">
        <v>2012.0</v>
      </c>
      <c r="D52" s="156" t="s">
        <v>335</v>
      </c>
      <c r="E52" s="159">
        <v>31120.0</v>
      </c>
      <c r="F52" s="150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43.5" customHeight="1">
      <c r="A53" s="177" t="s">
        <v>336</v>
      </c>
      <c r="B53" s="154" t="s">
        <v>317</v>
      </c>
      <c r="C53" s="160">
        <v>2012.0</v>
      </c>
      <c r="D53" s="156" t="s">
        <v>337</v>
      </c>
      <c r="E53" s="159">
        <v>2652.0</v>
      </c>
      <c r="F53" s="150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43.5" customHeight="1">
      <c r="A54" s="153" t="s">
        <v>338</v>
      </c>
      <c r="B54" s="154" t="s">
        <v>317</v>
      </c>
      <c r="C54" s="160">
        <v>2017.0</v>
      </c>
      <c r="D54" s="156" t="s">
        <v>339</v>
      </c>
      <c r="E54" s="159">
        <v>8034.7</v>
      </c>
      <c r="F54" s="150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43.5" customHeight="1">
      <c r="A55" s="153" t="s">
        <v>340</v>
      </c>
      <c r="B55" s="154" t="s">
        <v>317</v>
      </c>
      <c r="C55" s="160">
        <v>2023.0</v>
      </c>
      <c r="D55" s="156" t="s">
        <v>341</v>
      </c>
      <c r="E55" s="159">
        <v>4110.47</v>
      </c>
      <c r="F55" s="150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43.5" customHeight="1">
      <c r="A56" s="153" t="s">
        <v>342</v>
      </c>
      <c r="B56" s="154" t="s">
        <v>317</v>
      </c>
      <c r="C56" s="160">
        <v>2024.0</v>
      </c>
      <c r="D56" s="156" t="s">
        <v>343</v>
      </c>
      <c r="E56" s="159">
        <v>634.29</v>
      </c>
      <c r="F56" s="150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43.5" customHeight="1">
      <c r="A57" s="178" t="s">
        <v>344</v>
      </c>
      <c r="B57" s="154" t="s">
        <v>345</v>
      </c>
      <c r="C57" s="160">
        <v>2024.0</v>
      </c>
      <c r="D57" s="156" t="s">
        <v>346</v>
      </c>
      <c r="E57" s="159">
        <v>137267.25</v>
      </c>
      <c r="F57" s="150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43.5" customHeight="1">
      <c r="A58" s="178" t="s">
        <v>347</v>
      </c>
      <c r="B58" s="154" t="s">
        <v>345</v>
      </c>
      <c r="C58" s="160">
        <v>2024.0</v>
      </c>
      <c r="D58" s="156" t="s">
        <v>348</v>
      </c>
      <c r="E58" s="159">
        <v>4844.73</v>
      </c>
      <c r="F58" s="150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43.5" customHeight="1">
      <c r="A59" s="178" t="s">
        <v>349</v>
      </c>
      <c r="B59" s="154" t="s">
        <v>345</v>
      </c>
      <c r="C59" s="160">
        <v>2022.0</v>
      </c>
      <c r="D59" s="156" t="s">
        <v>350</v>
      </c>
      <c r="E59" s="159">
        <v>14059.83</v>
      </c>
      <c r="F59" s="150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43.5" customHeight="1">
      <c r="A60" s="178" t="s">
        <v>351</v>
      </c>
      <c r="B60" s="154" t="s">
        <v>345</v>
      </c>
      <c r="C60" s="160">
        <v>2022.0</v>
      </c>
      <c r="D60" s="156" t="s">
        <v>352</v>
      </c>
      <c r="E60" s="159">
        <v>4216.42</v>
      </c>
      <c r="F60" s="150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43.5" customHeight="1">
      <c r="A61" s="153" t="s">
        <v>353</v>
      </c>
      <c r="B61" s="154" t="s">
        <v>345</v>
      </c>
      <c r="C61" s="160">
        <v>2024.0</v>
      </c>
      <c r="D61" s="156" t="s">
        <v>354</v>
      </c>
      <c r="E61" s="159">
        <v>21843.26</v>
      </c>
      <c r="F61" s="150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43.5" customHeight="1">
      <c r="A62" s="168" t="s">
        <v>72</v>
      </c>
      <c r="B62" s="169" t="s">
        <v>345</v>
      </c>
      <c r="C62" s="170">
        <v>2020.0</v>
      </c>
      <c r="D62" s="156" t="s">
        <v>355</v>
      </c>
      <c r="E62" s="161">
        <v>57728.94</v>
      </c>
      <c r="F62" s="150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43.5" customHeight="1">
      <c r="A63" s="168" t="s">
        <v>60</v>
      </c>
      <c r="B63" s="169" t="s">
        <v>356</v>
      </c>
      <c r="C63" s="170">
        <v>2020.0</v>
      </c>
      <c r="D63" s="157" t="s">
        <v>357</v>
      </c>
      <c r="E63" s="161">
        <v>192429.81</v>
      </c>
      <c r="F63" s="150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43.5" customHeight="1">
      <c r="A64" s="168" t="s">
        <v>61</v>
      </c>
      <c r="B64" s="169" t="s">
        <v>356</v>
      </c>
      <c r="C64" s="170">
        <v>2020.0</v>
      </c>
      <c r="D64" s="157" t="s">
        <v>358</v>
      </c>
      <c r="E64" s="161">
        <v>134700.87</v>
      </c>
      <c r="F64" s="150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43.5" customHeight="1">
      <c r="A65" s="168" t="s">
        <v>62</v>
      </c>
      <c r="B65" s="169" t="s">
        <v>356</v>
      </c>
      <c r="C65" s="170">
        <v>2020.0</v>
      </c>
      <c r="D65" s="157" t="s">
        <v>359</v>
      </c>
      <c r="E65" s="161">
        <v>124121.54</v>
      </c>
      <c r="F65" s="150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43.5" customHeight="1">
      <c r="A66" s="168" t="s">
        <v>77</v>
      </c>
      <c r="B66" s="169" t="s">
        <v>356</v>
      </c>
      <c r="C66" s="170">
        <v>2020.0</v>
      </c>
      <c r="D66" s="157" t="s">
        <v>360</v>
      </c>
      <c r="E66" s="161">
        <v>38485.96</v>
      </c>
      <c r="F66" s="150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43.5" customHeight="1">
      <c r="A67" s="168" t="s">
        <v>78</v>
      </c>
      <c r="B67" s="169" t="s">
        <v>356</v>
      </c>
      <c r="C67" s="170">
        <v>2020.0</v>
      </c>
      <c r="D67" s="157" t="s">
        <v>360</v>
      </c>
      <c r="E67" s="161">
        <v>38485.96</v>
      </c>
      <c r="F67" s="150" t="s">
        <v>361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43.5" customHeight="1">
      <c r="A68" s="153" t="s">
        <v>79</v>
      </c>
      <c r="B68" s="169" t="s">
        <v>356</v>
      </c>
      <c r="C68" s="170">
        <v>2020.0</v>
      </c>
      <c r="D68" s="157" t="s">
        <v>362</v>
      </c>
      <c r="E68" s="161">
        <v>34553.18</v>
      </c>
      <c r="F68" s="150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43.5" customHeight="1">
      <c r="A69" s="179" t="s">
        <v>95</v>
      </c>
      <c r="B69" s="169" t="s">
        <v>356</v>
      </c>
      <c r="C69" s="170">
        <v>2020.0</v>
      </c>
      <c r="D69" s="157" t="s">
        <v>363</v>
      </c>
      <c r="E69" s="161">
        <v>16424.26</v>
      </c>
      <c r="F69" s="150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43.5" customHeight="1">
      <c r="A70" s="179" t="s">
        <v>96</v>
      </c>
      <c r="B70" s="169" t="s">
        <v>356</v>
      </c>
      <c r="C70" s="170">
        <v>2020.0</v>
      </c>
      <c r="D70" s="157" t="s">
        <v>364</v>
      </c>
      <c r="E70" s="161">
        <v>15038.13</v>
      </c>
      <c r="F70" s="150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43.5" customHeight="1">
      <c r="A71" s="179" t="s">
        <v>97</v>
      </c>
      <c r="B71" s="169" t="s">
        <v>356</v>
      </c>
      <c r="C71" s="170">
        <v>2020.0</v>
      </c>
      <c r="D71" s="157" t="s">
        <v>266</v>
      </c>
      <c r="E71" s="161">
        <v>13470.09</v>
      </c>
      <c r="F71" s="150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43.5" customHeight="1">
      <c r="A72" s="179" t="s">
        <v>98</v>
      </c>
      <c r="B72" s="169" t="s">
        <v>356</v>
      </c>
      <c r="C72" s="170">
        <v>2020.0</v>
      </c>
      <c r="D72" s="157" t="s">
        <v>365</v>
      </c>
      <c r="E72" s="161">
        <v>11160.93</v>
      </c>
      <c r="F72" s="150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43.5" customHeight="1">
      <c r="A73" s="179" t="s">
        <v>99</v>
      </c>
      <c r="B73" s="169" t="s">
        <v>356</v>
      </c>
      <c r="C73" s="170">
        <v>2020.0</v>
      </c>
      <c r="D73" s="157" t="s">
        <v>366</v>
      </c>
      <c r="E73" s="161">
        <v>10805.65</v>
      </c>
      <c r="F73" s="150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43.5" customHeight="1">
      <c r="A74" s="179" t="s">
        <v>100</v>
      </c>
      <c r="B74" s="169" t="s">
        <v>356</v>
      </c>
      <c r="C74" s="170">
        <v>2020.0</v>
      </c>
      <c r="D74" s="157" t="s">
        <v>367</v>
      </c>
      <c r="E74" s="161">
        <v>10089.98</v>
      </c>
      <c r="F74" s="150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43.5" customHeight="1">
      <c r="A75" s="179" t="s">
        <v>101</v>
      </c>
      <c r="B75" s="169" t="s">
        <v>356</v>
      </c>
      <c r="C75" s="170">
        <v>2020.0</v>
      </c>
      <c r="D75" s="157" t="s">
        <v>269</v>
      </c>
      <c r="E75" s="161">
        <v>9621.49</v>
      </c>
      <c r="F75" s="150" t="s">
        <v>361</v>
      </c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43.5" customHeight="1">
      <c r="A76" s="179" t="s">
        <v>102</v>
      </c>
      <c r="B76" s="169" t="s">
        <v>356</v>
      </c>
      <c r="C76" s="170">
        <v>2020.0</v>
      </c>
      <c r="D76" s="157" t="s">
        <v>368</v>
      </c>
      <c r="E76" s="161">
        <v>8292.59</v>
      </c>
      <c r="F76" s="150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43.5" customHeight="1">
      <c r="A77" s="179" t="s">
        <v>103</v>
      </c>
      <c r="B77" s="169" t="s">
        <v>356</v>
      </c>
      <c r="C77" s="170">
        <v>2020.0</v>
      </c>
      <c r="D77" s="157" t="s">
        <v>369</v>
      </c>
      <c r="E77" s="161">
        <v>7312.33</v>
      </c>
      <c r="F77" s="150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43.5" customHeight="1">
      <c r="A78" s="179" t="s">
        <v>104</v>
      </c>
      <c r="B78" s="169" t="s">
        <v>356</v>
      </c>
      <c r="C78" s="170">
        <v>2020.0</v>
      </c>
      <c r="D78" s="157" t="s">
        <v>370</v>
      </c>
      <c r="E78" s="161">
        <v>5942.47</v>
      </c>
      <c r="F78" s="150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43.5" customHeight="1">
      <c r="A79" s="179" t="s">
        <v>105</v>
      </c>
      <c r="B79" s="169" t="s">
        <v>356</v>
      </c>
      <c r="C79" s="170">
        <v>2020.0</v>
      </c>
      <c r="D79" s="157" t="s">
        <v>348</v>
      </c>
      <c r="E79" s="161">
        <v>5772.89</v>
      </c>
      <c r="F79" s="150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43.5" customHeight="1">
      <c r="A80" s="179" t="s">
        <v>106</v>
      </c>
      <c r="B80" s="169" t="s">
        <v>356</v>
      </c>
      <c r="C80" s="170">
        <v>2020.0</v>
      </c>
      <c r="D80" s="157" t="s">
        <v>348</v>
      </c>
      <c r="E80" s="161">
        <v>5772.89</v>
      </c>
      <c r="F80" s="150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43.5" customHeight="1">
      <c r="A81" s="179" t="s">
        <v>107</v>
      </c>
      <c r="B81" s="169" t="s">
        <v>356</v>
      </c>
      <c r="C81" s="170">
        <v>2020.0</v>
      </c>
      <c r="D81" s="157" t="s">
        <v>348</v>
      </c>
      <c r="E81" s="161">
        <v>5772.89</v>
      </c>
      <c r="F81" s="150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43.5" customHeight="1">
      <c r="A82" s="179" t="s">
        <v>108</v>
      </c>
      <c r="B82" s="169" t="s">
        <v>356</v>
      </c>
      <c r="C82" s="170">
        <v>2020.0</v>
      </c>
      <c r="D82" s="157" t="s">
        <v>371</v>
      </c>
      <c r="E82" s="161">
        <v>1885.81</v>
      </c>
      <c r="F82" s="150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43.5" customHeight="1">
      <c r="A83" s="179" t="s">
        <v>109</v>
      </c>
      <c r="B83" s="169" t="s">
        <v>356</v>
      </c>
      <c r="C83" s="170">
        <v>2020.0</v>
      </c>
      <c r="D83" s="157" t="s">
        <v>372</v>
      </c>
      <c r="E83" s="161">
        <v>428.29</v>
      </c>
      <c r="F83" s="150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43.5" customHeight="1">
      <c r="A84" s="153" t="s">
        <v>373</v>
      </c>
      <c r="B84" s="154" t="s">
        <v>212</v>
      </c>
      <c r="C84" s="160">
        <v>2001.0</v>
      </c>
      <c r="D84" s="157" t="s">
        <v>283</v>
      </c>
      <c r="E84" s="161">
        <v>64644.03</v>
      </c>
      <c r="F84" s="150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43.5" customHeight="1">
      <c r="A85" s="153" t="s">
        <v>374</v>
      </c>
      <c r="B85" s="154" t="s">
        <v>212</v>
      </c>
      <c r="C85" s="160">
        <v>1994.0</v>
      </c>
      <c r="D85" s="157" t="s">
        <v>268</v>
      </c>
      <c r="E85" s="161">
        <v>47003.53</v>
      </c>
      <c r="F85" s="150"/>
      <c r="G85" s="180"/>
      <c r="H85" s="180"/>
      <c r="I85" s="180"/>
      <c r="J85" s="180"/>
      <c r="K85" s="180"/>
      <c r="L85" s="180"/>
      <c r="M85" s="180"/>
      <c r="N85" s="180"/>
      <c r="O85" s="180"/>
      <c r="P85" s="180"/>
      <c r="Q85" s="180"/>
      <c r="R85" s="180"/>
      <c r="S85" s="180"/>
      <c r="T85" s="180"/>
      <c r="U85" s="180"/>
      <c r="V85" s="180"/>
      <c r="W85" s="180"/>
      <c r="X85" s="180"/>
      <c r="Y85" s="180"/>
      <c r="Z85" s="180"/>
    </row>
    <row r="86" ht="43.5" customHeight="1">
      <c r="A86" s="153" t="s">
        <v>375</v>
      </c>
      <c r="B86" s="154" t="s">
        <v>212</v>
      </c>
      <c r="C86" s="160">
        <v>2013.0</v>
      </c>
      <c r="D86" s="157" t="s">
        <v>376</v>
      </c>
      <c r="E86" s="161">
        <v>34150.09</v>
      </c>
      <c r="F86" s="150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43.5" customHeight="1">
      <c r="A87" s="153" t="s">
        <v>377</v>
      </c>
      <c r="B87" s="154" t="s">
        <v>212</v>
      </c>
      <c r="C87" s="160">
        <v>2013.0</v>
      </c>
      <c r="D87" s="157" t="s">
        <v>360</v>
      </c>
      <c r="E87" s="161">
        <v>85375.22</v>
      </c>
      <c r="F87" s="150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43.5" customHeight="1">
      <c r="A88" s="153" t="s">
        <v>86</v>
      </c>
      <c r="B88" s="154" t="s">
        <v>212</v>
      </c>
      <c r="C88" s="160">
        <v>2020.0</v>
      </c>
      <c r="D88" s="157" t="s">
        <v>269</v>
      </c>
      <c r="E88" s="161">
        <v>9621.49</v>
      </c>
      <c r="F88" s="150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43.5" customHeight="1">
      <c r="A89" s="153" t="s">
        <v>378</v>
      </c>
      <c r="B89" s="154" t="s">
        <v>212</v>
      </c>
      <c r="C89" s="160">
        <v>2020.0</v>
      </c>
      <c r="D89" s="157" t="s">
        <v>269</v>
      </c>
      <c r="E89" s="161">
        <v>9621.49</v>
      </c>
      <c r="F89" s="150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43.5" customHeight="1">
      <c r="A90" s="153" t="s">
        <v>88</v>
      </c>
      <c r="B90" s="154" t="s">
        <v>212</v>
      </c>
      <c r="C90" s="160">
        <v>2011.0</v>
      </c>
      <c r="D90" s="157" t="s">
        <v>379</v>
      </c>
      <c r="E90" s="161">
        <v>586416.46</v>
      </c>
      <c r="F90" s="150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43.5" customHeight="1">
      <c r="A91" s="153" t="s">
        <v>380</v>
      </c>
      <c r="B91" s="154" t="s">
        <v>212</v>
      </c>
      <c r="C91" s="160">
        <v>2015.0</v>
      </c>
      <c r="D91" s="157" t="s">
        <v>381</v>
      </c>
      <c r="E91" s="161">
        <v>6402.38</v>
      </c>
      <c r="F91" s="150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43.5" customHeight="1">
      <c r="A92" s="153" t="s">
        <v>382</v>
      </c>
      <c r="B92" s="154" t="s">
        <v>212</v>
      </c>
      <c r="C92" s="160">
        <v>1995.0</v>
      </c>
      <c r="D92" s="157" t="s">
        <v>383</v>
      </c>
      <c r="E92" s="161">
        <v>256410.26</v>
      </c>
      <c r="F92" s="150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43.5" customHeight="1">
      <c r="A93" s="153" t="s">
        <v>91</v>
      </c>
      <c r="B93" s="154" t="s">
        <v>212</v>
      </c>
      <c r="C93" s="160">
        <v>1994.0</v>
      </c>
      <c r="D93" s="157" t="s">
        <v>384</v>
      </c>
      <c r="E93" s="161">
        <v>1932.31</v>
      </c>
      <c r="F93" s="150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43.5" customHeight="1">
      <c r="A94" s="153" t="s">
        <v>110</v>
      </c>
      <c r="B94" s="154" t="s">
        <v>210</v>
      </c>
      <c r="C94" s="160">
        <v>2006.0</v>
      </c>
      <c r="D94" s="157" t="s">
        <v>383</v>
      </c>
      <c r="E94" s="161">
        <v>116931.71</v>
      </c>
      <c r="F94" s="150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43.5" customHeight="1">
      <c r="A95" s="153" t="s">
        <v>111</v>
      </c>
      <c r="B95" s="154" t="s">
        <v>210</v>
      </c>
      <c r="C95" s="160">
        <v>2011.0</v>
      </c>
      <c r="D95" s="157" t="s">
        <v>385</v>
      </c>
      <c r="E95" s="161">
        <v>111952.23</v>
      </c>
      <c r="F95" s="150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43.5" customHeight="1">
      <c r="A96" s="153" t="s">
        <v>112</v>
      </c>
      <c r="B96" s="154" t="s">
        <v>210</v>
      </c>
      <c r="C96" s="160">
        <v>1998.0</v>
      </c>
      <c r="D96" s="157" t="s">
        <v>266</v>
      </c>
      <c r="E96" s="161">
        <v>57841.68</v>
      </c>
      <c r="F96" s="150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43.5" customHeight="1">
      <c r="A97" s="153" t="s">
        <v>113</v>
      </c>
      <c r="B97" s="154" t="s">
        <v>210</v>
      </c>
      <c r="C97" s="160">
        <v>2009.0</v>
      </c>
      <c r="D97" s="157" t="s">
        <v>283</v>
      </c>
      <c r="E97" s="161">
        <v>86147.48</v>
      </c>
      <c r="F97" s="150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43.5" customHeight="1">
      <c r="A98" s="153" t="s">
        <v>114</v>
      </c>
      <c r="B98" s="154" t="s">
        <v>210</v>
      </c>
      <c r="C98" s="160">
        <v>1990.0</v>
      </c>
      <c r="D98" s="157" t="s">
        <v>376</v>
      </c>
      <c r="E98" s="161">
        <v>470.42</v>
      </c>
      <c r="F98" s="150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43.5" customHeight="1">
      <c r="A99" s="153" t="s">
        <v>115</v>
      </c>
      <c r="B99" s="154" t="s">
        <v>210</v>
      </c>
      <c r="C99" s="160">
        <v>2009.0</v>
      </c>
      <c r="D99" s="157" t="s">
        <v>386</v>
      </c>
      <c r="E99" s="161">
        <v>37330.58</v>
      </c>
      <c r="F99" s="150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43.5" customHeight="1">
      <c r="A100" s="153" t="s">
        <v>387</v>
      </c>
      <c r="B100" s="154" t="s">
        <v>210</v>
      </c>
      <c r="C100" s="160">
        <v>2012.0</v>
      </c>
      <c r="D100" s="155" t="s">
        <v>388</v>
      </c>
      <c r="E100" s="181">
        <v>110105.21</v>
      </c>
      <c r="F100" s="182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43.5" customHeight="1">
      <c r="A101" s="153" t="s">
        <v>50</v>
      </c>
      <c r="B101" s="154" t="s">
        <v>210</v>
      </c>
      <c r="C101" s="160">
        <v>2001.0</v>
      </c>
      <c r="D101" s="155" t="s">
        <v>282</v>
      </c>
      <c r="E101" s="181">
        <v>25857.61</v>
      </c>
      <c r="F101" s="182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43.5" customHeight="1">
      <c r="A102" s="153" t="s">
        <v>117</v>
      </c>
      <c r="B102" s="154" t="s">
        <v>210</v>
      </c>
      <c r="C102" s="160">
        <v>2001.0</v>
      </c>
      <c r="D102" s="155" t="s">
        <v>389</v>
      </c>
      <c r="E102" s="181">
        <v>37.06</v>
      </c>
      <c r="F102" s="182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43.5" customHeight="1">
      <c r="A103" s="153" t="s">
        <v>118</v>
      </c>
      <c r="B103" s="154" t="s">
        <v>210</v>
      </c>
      <c r="C103" s="160">
        <v>2008.0</v>
      </c>
      <c r="D103" s="157" t="s">
        <v>390</v>
      </c>
      <c r="E103" s="181">
        <v>52631.58</v>
      </c>
      <c r="F103" s="182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43.5" customHeight="1">
      <c r="A104" s="153" t="s">
        <v>119</v>
      </c>
      <c r="B104" s="154" t="s">
        <v>210</v>
      </c>
      <c r="C104" s="160">
        <v>2006.0</v>
      </c>
      <c r="D104" s="155" t="s">
        <v>386</v>
      </c>
      <c r="E104" s="181">
        <v>30402.25</v>
      </c>
      <c r="F104" s="182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43.5" customHeight="1">
      <c r="A105" s="153" t="s">
        <v>391</v>
      </c>
      <c r="B105" s="154" t="s">
        <v>210</v>
      </c>
      <c r="C105" s="160">
        <v>2012.0</v>
      </c>
      <c r="D105" s="155" t="s">
        <v>392</v>
      </c>
      <c r="E105" s="181">
        <v>107658.43</v>
      </c>
      <c r="F105" s="182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43.5" customHeight="1">
      <c r="A106" s="153" t="s">
        <v>393</v>
      </c>
      <c r="B106" s="154" t="s">
        <v>210</v>
      </c>
      <c r="C106" s="160">
        <v>2010.0</v>
      </c>
      <c r="D106" s="155" t="s">
        <v>394</v>
      </c>
      <c r="E106" s="181">
        <v>360100.83</v>
      </c>
      <c r="F106" s="182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43.5" customHeight="1">
      <c r="A107" s="153" t="s">
        <v>395</v>
      </c>
      <c r="B107" s="154" t="s">
        <v>210</v>
      </c>
      <c r="C107" s="160">
        <v>2012.0</v>
      </c>
      <c r="D107" s="155" t="s">
        <v>396</v>
      </c>
      <c r="E107" s="181">
        <v>195742.6</v>
      </c>
      <c r="F107" s="182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43.5" customHeight="1">
      <c r="A108" s="153" t="s">
        <v>123</v>
      </c>
      <c r="B108" s="154" t="s">
        <v>210</v>
      </c>
      <c r="C108" s="160">
        <v>2015.0</v>
      </c>
      <c r="D108" s="155" t="s">
        <v>397</v>
      </c>
      <c r="E108" s="181">
        <v>27310.56</v>
      </c>
      <c r="F108" s="182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43.5" customHeight="1">
      <c r="A109" s="177" t="s">
        <v>124</v>
      </c>
      <c r="B109" s="154" t="s">
        <v>210</v>
      </c>
      <c r="C109" s="160">
        <v>2022.0</v>
      </c>
      <c r="D109" s="155" t="s">
        <v>398</v>
      </c>
      <c r="E109" s="181">
        <v>1916.55</v>
      </c>
      <c r="F109" s="182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43.5" customHeight="1">
      <c r="A110" s="153" t="s">
        <v>125</v>
      </c>
      <c r="B110" s="154" t="s">
        <v>214</v>
      </c>
      <c r="C110" s="160">
        <v>2010.0</v>
      </c>
      <c r="D110" s="155" t="s">
        <v>399</v>
      </c>
      <c r="E110" s="181">
        <v>310127.49</v>
      </c>
      <c r="F110" s="182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43.5" customHeight="1">
      <c r="A111" s="153" t="s">
        <v>126</v>
      </c>
      <c r="B111" s="154" t="s">
        <v>214</v>
      </c>
      <c r="C111" s="183">
        <v>2003.0</v>
      </c>
      <c r="D111" s="155" t="s">
        <v>400</v>
      </c>
      <c r="E111" s="181">
        <v>50709.54</v>
      </c>
      <c r="F111" s="182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43.5" customHeight="1">
      <c r="A112" s="153" t="s">
        <v>127</v>
      </c>
      <c r="B112" s="154" t="s">
        <v>214</v>
      </c>
      <c r="C112" s="160">
        <v>2006.0</v>
      </c>
      <c r="D112" s="155" t="s">
        <v>401</v>
      </c>
      <c r="E112" s="181">
        <v>2338.63</v>
      </c>
      <c r="F112" s="182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43.5" customHeight="1">
      <c r="A113" s="184" t="s">
        <v>47</v>
      </c>
      <c r="B113" s="154" t="s">
        <v>214</v>
      </c>
      <c r="C113" s="185">
        <v>2012.0</v>
      </c>
      <c r="D113" s="155" t="s">
        <v>402</v>
      </c>
      <c r="E113" s="181">
        <v>108595.61</v>
      </c>
      <c r="F113" s="182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43.5" customHeight="1">
      <c r="A114" s="184" t="s">
        <v>403</v>
      </c>
      <c r="B114" s="154" t="s">
        <v>214</v>
      </c>
      <c r="C114" s="160">
        <v>2007.0</v>
      </c>
      <c r="D114" s="155" t="s">
        <v>402</v>
      </c>
      <c r="E114" s="181">
        <v>125283.76</v>
      </c>
      <c r="F114" s="182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43.5" customHeight="1">
      <c r="A115" s="184" t="s">
        <v>129</v>
      </c>
      <c r="B115" s="154" t="s">
        <v>214</v>
      </c>
      <c r="C115" s="160">
        <v>1998.0</v>
      </c>
      <c r="D115" s="155" t="s">
        <v>404</v>
      </c>
      <c r="E115" s="181">
        <v>281140.31</v>
      </c>
      <c r="F115" s="182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43.5" customHeight="1">
      <c r="A116" s="184" t="s">
        <v>405</v>
      </c>
      <c r="B116" s="154" t="s">
        <v>214</v>
      </c>
      <c r="C116" s="183">
        <v>2007.0</v>
      </c>
      <c r="D116" s="155" t="s">
        <v>406</v>
      </c>
      <c r="E116" s="181">
        <v>279177.09</v>
      </c>
      <c r="F116" s="182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43.5" customHeight="1">
      <c r="A117" s="153" t="s">
        <v>407</v>
      </c>
      <c r="B117" s="154" t="s">
        <v>214</v>
      </c>
      <c r="C117" s="160">
        <v>2010.0</v>
      </c>
      <c r="D117" s="155" t="s">
        <v>408</v>
      </c>
      <c r="E117" s="181">
        <v>36520.17</v>
      </c>
      <c r="F117" s="182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53" t="s">
        <v>131</v>
      </c>
      <c r="B118" s="154" t="s">
        <v>214</v>
      </c>
      <c r="C118" s="160">
        <v>2008.0</v>
      </c>
      <c r="D118" s="155" t="s">
        <v>409</v>
      </c>
      <c r="E118" s="181">
        <v>52532.63</v>
      </c>
      <c r="F118" s="182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53" t="s">
        <v>132</v>
      </c>
      <c r="B119" s="154" t="s">
        <v>214</v>
      </c>
      <c r="C119" s="160">
        <v>2009.0</v>
      </c>
      <c r="D119" s="155" t="s">
        <v>410</v>
      </c>
      <c r="E119" s="181">
        <v>45406.97</v>
      </c>
      <c r="F119" s="182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53" t="s">
        <v>140</v>
      </c>
      <c r="B120" s="154" t="s">
        <v>214</v>
      </c>
      <c r="C120" s="183">
        <v>2015.0</v>
      </c>
      <c r="D120" s="155" t="s">
        <v>411</v>
      </c>
      <c r="E120" s="181">
        <v>647995.56</v>
      </c>
      <c r="F120" s="182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53" t="s">
        <v>141</v>
      </c>
      <c r="B121" s="154" t="s">
        <v>214</v>
      </c>
      <c r="C121" s="183">
        <v>2004.0</v>
      </c>
      <c r="D121" s="155" t="s">
        <v>412</v>
      </c>
      <c r="E121" s="181">
        <v>5650.99</v>
      </c>
      <c r="F121" s="182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77" t="s">
        <v>142</v>
      </c>
      <c r="B122" s="154" t="s">
        <v>214</v>
      </c>
      <c r="C122" s="183">
        <v>2022.0</v>
      </c>
      <c r="D122" s="155" t="s">
        <v>352</v>
      </c>
      <c r="E122" s="181">
        <v>4216.42</v>
      </c>
      <c r="F122" s="182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53" t="s">
        <v>413</v>
      </c>
      <c r="B123" s="154" t="s">
        <v>214</v>
      </c>
      <c r="C123" s="160">
        <v>2019.0</v>
      </c>
      <c r="D123" s="155" t="s">
        <v>414</v>
      </c>
      <c r="E123" s="181">
        <v>40758.43</v>
      </c>
      <c r="F123" s="182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45" t="s">
        <v>133</v>
      </c>
      <c r="B124" s="146" t="s">
        <v>216</v>
      </c>
      <c r="C124" s="186">
        <v>2010.0</v>
      </c>
      <c r="D124" s="187" t="s">
        <v>415</v>
      </c>
      <c r="E124" s="188">
        <v>82755.52</v>
      </c>
      <c r="F124" s="182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45" t="s">
        <v>134</v>
      </c>
      <c r="B125" s="146" t="s">
        <v>216</v>
      </c>
      <c r="C125" s="186">
        <v>2013.0</v>
      </c>
      <c r="D125" s="187" t="s">
        <v>416</v>
      </c>
      <c r="E125" s="188">
        <v>4012.64</v>
      </c>
      <c r="F125" s="182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45" t="s">
        <v>135</v>
      </c>
      <c r="B126" s="146" t="s">
        <v>216</v>
      </c>
      <c r="C126" s="186">
        <v>2013.0</v>
      </c>
      <c r="D126" s="187" t="s">
        <v>417</v>
      </c>
      <c r="E126" s="188">
        <v>8905.92</v>
      </c>
      <c r="F126" s="182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45" t="s">
        <v>136</v>
      </c>
      <c r="B127" s="146" t="s">
        <v>216</v>
      </c>
      <c r="C127" s="186">
        <v>2010.0</v>
      </c>
      <c r="D127" s="187" t="s">
        <v>418</v>
      </c>
      <c r="E127" s="188">
        <v>32484.1</v>
      </c>
      <c r="F127" s="182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45" t="s">
        <v>137</v>
      </c>
      <c r="B128" s="146" t="s">
        <v>216</v>
      </c>
      <c r="C128" s="186">
        <v>2010.0</v>
      </c>
      <c r="D128" s="187" t="s">
        <v>419</v>
      </c>
      <c r="E128" s="188">
        <v>209579.82</v>
      </c>
      <c r="F128" s="182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89" t="s">
        <v>138</v>
      </c>
      <c r="B129" s="146" t="s">
        <v>216</v>
      </c>
      <c r="C129" s="186">
        <v>2010.0</v>
      </c>
      <c r="D129" s="187" t="s">
        <v>420</v>
      </c>
      <c r="E129" s="188">
        <v>52184.61</v>
      </c>
      <c r="F129" s="182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90" t="s">
        <v>421</v>
      </c>
      <c r="B130" s="146" t="s">
        <v>216</v>
      </c>
      <c r="C130" s="186">
        <v>2010.0</v>
      </c>
      <c r="D130" s="187" t="s">
        <v>422</v>
      </c>
      <c r="E130" s="188">
        <v>80905.7</v>
      </c>
      <c r="F130" s="182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45" t="s">
        <v>423</v>
      </c>
      <c r="B131" s="146" t="s">
        <v>424</v>
      </c>
      <c r="C131" s="147">
        <v>2013.0</v>
      </c>
      <c r="D131" s="187" t="s">
        <v>425</v>
      </c>
      <c r="E131" s="191">
        <v>1579.44</v>
      </c>
      <c r="F131" s="182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45" t="s">
        <v>426</v>
      </c>
      <c r="B132" s="146" t="s">
        <v>424</v>
      </c>
      <c r="C132" s="147">
        <v>2009.0</v>
      </c>
      <c r="D132" s="187" t="s">
        <v>401</v>
      </c>
      <c r="E132" s="191">
        <v>2871.58</v>
      </c>
      <c r="F132" s="182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92" t="s">
        <v>427</v>
      </c>
      <c r="B133" s="193" t="s">
        <v>424</v>
      </c>
      <c r="C133" s="194">
        <v>2023.0</v>
      </c>
      <c r="D133" s="187" t="s">
        <v>428</v>
      </c>
      <c r="E133" s="191">
        <v>2891.79</v>
      </c>
      <c r="F133" s="182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45" t="s">
        <v>429</v>
      </c>
      <c r="B134" s="146" t="s">
        <v>430</v>
      </c>
      <c r="C134" s="147">
        <v>2025.0</v>
      </c>
      <c r="D134" s="187" t="s">
        <v>431</v>
      </c>
      <c r="E134" s="195">
        <v>790.23</v>
      </c>
      <c r="F134" s="182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7"/>
      <c r="B135" s="142"/>
      <c r="C135" s="17"/>
      <c r="D135" s="17"/>
      <c r="E135" s="1"/>
      <c r="F135" s="126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7"/>
      <c r="B136" s="142"/>
      <c r="C136" s="17"/>
      <c r="D136" s="17"/>
      <c r="E136" s="1"/>
      <c r="F136" s="126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7"/>
      <c r="B137" s="142"/>
      <c r="C137" s="17"/>
      <c r="D137" s="17"/>
      <c r="E137" s="1"/>
      <c r="F137" s="126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7"/>
      <c r="B138" s="142"/>
      <c r="C138" s="17"/>
      <c r="D138" s="17"/>
      <c r="E138" s="1"/>
      <c r="F138" s="126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7"/>
      <c r="B139" s="142"/>
      <c r="C139" s="17"/>
      <c r="D139" s="17"/>
      <c r="E139" s="1"/>
      <c r="F139" s="126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7"/>
      <c r="B140" s="142"/>
      <c r="C140" s="17"/>
      <c r="D140" s="17"/>
      <c r="E140" s="1"/>
      <c r="F140" s="126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7"/>
      <c r="B141" s="142"/>
      <c r="C141" s="17"/>
      <c r="D141" s="17"/>
      <c r="E141" s="1"/>
      <c r="F141" s="126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7"/>
      <c r="B142" s="142"/>
      <c r="C142" s="17"/>
      <c r="D142" s="17"/>
      <c r="E142" s="1"/>
      <c r="F142" s="126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7"/>
      <c r="B143" s="142"/>
      <c r="C143" s="17"/>
      <c r="D143" s="17"/>
      <c r="E143" s="1"/>
      <c r="F143" s="126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7"/>
      <c r="B144" s="142"/>
      <c r="C144" s="17"/>
      <c r="D144" s="17"/>
      <c r="E144" s="1"/>
      <c r="F144" s="126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7"/>
      <c r="B145" s="142"/>
      <c r="C145" s="17"/>
      <c r="D145" s="17"/>
      <c r="E145" s="1"/>
      <c r="F145" s="126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7"/>
      <c r="B146" s="142"/>
      <c r="C146" s="17"/>
      <c r="D146" s="17"/>
      <c r="E146" s="1"/>
      <c r="F146" s="126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7"/>
      <c r="B147" s="142"/>
      <c r="C147" s="17"/>
      <c r="D147" s="17"/>
      <c r="E147" s="1"/>
      <c r="F147" s="126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7"/>
      <c r="B148" s="142"/>
      <c r="C148" s="17"/>
      <c r="D148" s="17"/>
      <c r="E148" s="1"/>
      <c r="F148" s="126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7"/>
      <c r="B149" s="142"/>
      <c r="C149" s="17"/>
      <c r="D149" s="17"/>
      <c r="E149" s="1"/>
      <c r="F149" s="126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7"/>
      <c r="B150" s="142"/>
      <c r="C150" s="17"/>
      <c r="D150" s="17"/>
      <c r="E150" s="1"/>
      <c r="F150" s="126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7"/>
      <c r="B151" s="142"/>
      <c r="C151" s="17"/>
      <c r="D151" s="17"/>
      <c r="E151" s="1"/>
      <c r="F151" s="126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7"/>
      <c r="B152" s="142"/>
      <c r="C152" s="17"/>
      <c r="D152" s="17"/>
      <c r="E152" s="1"/>
      <c r="F152" s="126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7"/>
      <c r="B153" s="142"/>
      <c r="C153" s="17"/>
      <c r="D153" s="17"/>
      <c r="E153" s="1"/>
      <c r="F153" s="126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7"/>
      <c r="B154" s="142"/>
      <c r="C154" s="17"/>
      <c r="D154" s="17"/>
      <c r="E154" s="1"/>
      <c r="F154" s="126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7"/>
      <c r="B155" s="142"/>
      <c r="C155" s="17"/>
      <c r="D155" s="17"/>
      <c r="E155" s="1"/>
      <c r="F155" s="126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7"/>
      <c r="B156" s="142"/>
      <c r="C156" s="17"/>
      <c r="D156" s="17"/>
      <c r="E156" s="1"/>
      <c r="F156" s="126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7"/>
      <c r="B157" s="142"/>
      <c r="C157" s="17"/>
      <c r="D157" s="17"/>
      <c r="E157" s="1"/>
      <c r="F157" s="126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7"/>
      <c r="B158" s="142"/>
      <c r="C158" s="17"/>
      <c r="D158" s="17"/>
      <c r="E158" s="1"/>
      <c r="F158" s="126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7"/>
      <c r="B159" s="142"/>
      <c r="C159" s="17"/>
      <c r="D159" s="17"/>
      <c r="E159" s="1"/>
      <c r="F159" s="126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7"/>
      <c r="B160" s="142"/>
      <c r="C160" s="17"/>
      <c r="D160" s="17"/>
      <c r="E160" s="1"/>
      <c r="F160" s="126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7"/>
      <c r="B161" s="142"/>
      <c r="C161" s="17"/>
      <c r="D161" s="17"/>
      <c r="E161" s="1"/>
      <c r="F161" s="126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7"/>
      <c r="B162" s="142"/>
      <c r="C162" s="17"/>
      <c r="D162" s="17"/>
      <c r="E162" s="1"/>
      <c r="F162" s="126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7"/>
      <c r="B163" s="142"/>
      <c r="C163" s="17"/>
      <c r="D163" s="17"/>
      <c r="E163" s="1"/>
      <c r="F163" s="126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7"/>
      <c r="B164" s="142"/>
      <c r="C164" s="17"/>
      <c r="D164" s="17"/>
      <c r="E164" s="1"/>
      <c r="F164" s="126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7"/>
      <c r="B165" s="142"/>
      <c r="C165" s="17"/>
      <c r="D165" s="17"/>
      <c r="E165" s="1"/>
      <c r="F165" s="126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7"/>
      <c r="B166" s="142"/>
      <c r="C166" s="17"/>
      <c r="D166" s="17"/>
      <c r="E166" s="1"/>
      <c r="F166" s="126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7"/>
      <c r="B167" s="142"/>
      <c r="C167" s="17"/>
      <c r="D167" s="17"/>
      <c r="E167" s="1"/>
      <c r="F167" s="126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7"/>
      <c r="B168" s="142"/>
      <c r="C168" s="17"/>
      <c r="D168" s="17"/>
      <c r="E168" s="1"/>
      <c r="F168" s="126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7"/>
      <c r="B169" s="142"/>
      <c r="C169" s="17"/>
      <c r="D169" s="17"/>
      <c r="E169" s="1"/>
      <c r="F169" s="126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7"/>
      <c r="B170" s="142"/>
      <c r="C170" s="17"/>
      <c r="D170" s="17"/>
      <c r="E170" s="1"/>
      <c r="F170" s="126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7"/>
      <c r="B171" s="142"/>
      <c r="C171" s="17"/>
      <c r="D171" s="17"/>
      <c r="E171" s="1"/>
      <c r="F171" s="126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7"/>
      <c r="B172" s="142"/>
      <c r="C172" s="17"/>
      <c r="D172" s="17"/>
      <c r="E172" s="1"/>
      <c r="F172" s="126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7"/>
      <c r="B173" s="142"/>
      <c r="C173" s="17"/>
      <c r="D173" s="17"/>
      <c r="E173" s="1"/>
      <c r="F173" s="126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7"/>
      <c r="B174" s="142"/>
      <c r="C174" s="17"/>
      <c r="D174" s="17"/>
      <c r="E174" s="1"/>
      <c r="F174" s="126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7"/>
      <c r="B175" s="142"/>
      <c r="C175" s="17"/>
      <c r="D175" s="17"/>
      <c r="E175" s="1"/>
      <c r="F175" s="126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7"/>
      <c r="B176" s="142"/>
      <c r="C176" s="17"/>
      <c r="D176" s="17"/>
      <c r="E176" s="1"/>
      <c r="F176" s="126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7"/>
      <c r="B177" s="142"/>
      <c r="C177" s="17"/>
      <c r="D177" s="17"/>
      <c r="E177" s="1"/>
      <c r="F177" s="126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7"/>
      <c r="B178" s="142"/>
      <c r="C178" s="17"/>
      <c r="D178" s="17"/>
      <c r="E178" s="1"/>
      <c r="F178" s="126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7"/>
      <c r="B179" s="142"/>
      <c r="C179" s="17"/>
      <c r="D179" s="17"/>
      <c r="E179" s="1"/>
      <c r="F179" s="126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7"/>
      <c r="B180" s="142"/>
      <c r="C180" s="17"/>
      <c r="D180" s="17"/>
      <c r="E180" s="1"/>
      <c r="F180" s="126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7"/>
      <c r="B181" s="142"/>
      <c r="C181" s="17"/>
      <c r="D181" s="17"/>
      <c r="E181" s="1"/>
      <c r="F181" s="126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7"/>
      <c r="B182" s="142"/>
      <c r="C182" s="17"/>
      <c r="D182" s="17"/>
      <c r="E182" s="1"/>
      <c r="F182" s="126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7"/>
      <c r="B183" s="142"/>
      <c r="C183" s="17"/>
      <c r="D183" s="17"/>
      <c r="E183" s="1"/>
      <c r="F183" s="126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7"/>
      <c r="B184" s="142"/>
      <c r="C184" s="17"/>
      <c r="D184" s="17"/>
      <c r="E184" s="1"/>
      <c r="F184" s="126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7"/>
      <c r="B185" s="142"/>
      <c r="C185" s="17"/>
      <c r="D185" s="17"/>
      <c r="E185" s="1"/>
      <c r="F185" s="126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7"/>
      <c r="B186" s="142"/>
      <c r="C186" s="17"/>
      <c r="D186" s="17"/>
      <c r="E186" s="1"/>
      <c r="F186" s="126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7"/>
      <c r="B187" s="142"/>
      <c r="C187" s="17"/>
      <c r="D187" s="17"/>
      <c r="E187" s="1"/>
      <c r="F187" s="126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7"/>
      <c r="B188" s="142"/>
      <c r="C188" s="17"/>
      <c r="D188" s="17"/>
      <c r="E188" s="1"/>
      <c r="F188" s="126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7"/>
      <c r="B189" s="142"/>
      <c r="C189" s="17"/>
      <c r="D189" s="17"/>
      <c r="E189" s="1"/>
      <c r="F189" s="126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7"/>
      <c r="B190" s="142"/>
      <c r="C190" s="17"/>
      <c r="D190" s="17"/>
      <c r="E190" s="1"/>
      <c r="F190" s="126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7"/>
      <c r="B191" s="142"/>
      <c r="C191" s="17"/>
      <c r="D191" s="17"/>
      <c r="E191" s="1"/>
      <c r="F191" s="126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7"/>
      <c r="B192" s="142"/>
      <c r="C192" s="17"/>
      <c r="D192" s="17"/>
      <c r="E192" s="1"/>
      <c r="F192" s="126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7"/>
      <c r="B193" s="142"/>
      <c r="C193" s="17"/>
      <c r="D193" s="17"/>
      <c r="E193" s="1"/>
      <c r="F193" s="126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7"/>
      <c r="B194" s="142"/>
      <c r="C194" s="17"/>
      <c r="D194" s="17"/>
      <c r="E194" s="1"/>
      <c r="F194" s="126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7"/>
      <c r="B195" s="142"/>
      <c r="C195" s="17"/>
      <c r="D195" s="17"/>
      <c r="E195" s="1"/>
      <c r="F195" s="126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7"/>
      <c r="B196" s="142"/>
      <c r="C196" s="17"/>
      <c r="D196" s="17"/>
      <c r="E196" s="1"/>
      <c r="F196" s="126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7"/>
      <c r="B197" s="142"/>
      <c r="C197" s="17"/>
      <c r="D197" s="17"/>
      <c r="E197" s="1"/>
      <c r="F197" s="126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7"/>
      <c r="B198" s="142"/>
      <c r="C198" s="17"/>
      <c r="D198" s="17"/>
      <c r="E198" s="1"/>
      <c r="F198" s="126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7"/>
      <c r="B199" s="142"/>
      <c r="C199" s="17"/>
      <c r="D199" s="17"/>
      <c r="E199" s="1"/>
      <c r="F199" s="126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7"/>
      <c r="B200" s="142"/>
      <c r="C200" s="17"/>
      <c r="D200" s="17"/>
      <c r="E200" s="1"/>
      <c r="F200" s="126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7"/>
      <c r="B201" s="142"/>
      <c r="C201" s="17"/>
      <c r="D201" s="17"/>
      <c r="E201" s="1"/>
      <c r="F201" s="126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7"/>
      <c r="B202" s="142"/>
      <c r="C202" s="17"/>
      <c r="D202" s="17"/>
      <c r="E202" s="1"/>
      <c r="F202" s="126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7"/>
      <c r="B203" s="142"/>
      <c r="C203" s="17"/>
      <c r="D203" s="17"/>
      <c r="E203" s="1"/>
      <c r="F203" s="126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7"/>
      <c r="B204" s="142"/>
      <c r="C204" s="17"/>
      <c r="D204" s="17"/>
      <c r="E204" s="1"/>
      <c r="F204" s="126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7"/>
      <c r="B205" s="142"/>
      <c r="C205" s="17"/>
      <c r="D205" s="17"/>
      <c r="E205" s="1"/>
      <c r="F205" s="126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7"/>
      <c r="B206" s="142"/>
      <c r="C206" s="17"/>
      <c r="D206" s="17"/>
      <c r="E206" s="1"/>
      <c r="F206" s="126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7"/>
      <c r="B207" s="142"/>
      <c r="C207" s="17"/>
      <c r="D207" s="17"/>
      <c r="E207" s="1"/>
      <c r="F207" s="126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7"/>
      <c r="B208" s="142"/>
      <c r="C208" s="17"/>
      <c r="D208" s="17"/>
      <c r="E208" s="1"/>
      <c r="F208" s="126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7"/>
      <c r="B209" s="142"/>
      <c r="C209" s="17"/>
      <c r="D209" s="17"/>
      <c r="E209" s="1"/>
      <c r="F209" s="126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7"/>
      <c r="B210" s="142"/>
      <c r="C210" s="17"/>
      <c r="D210" s="17"/>
      <c r="E210" s="1"/>
      <c r="F210" s="126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7"/>
      <c r="B211" s="142"/>
      <c r="C211" s="17"/>
      <c r="D211" s="17"/>
      <c r="E211" s="1"/>
      <c r="F211" s="126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7"/>
      <c r="B212" s="142"/>
      <c r="C212" s="17"/>
      <c r="D212" s="17"/>
      <c r="E212" s="1"/>
      <c r="F212" s="126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7"/>
      <c r="B213" s="142"/>
      <c r="C213" s="17"/>
      <c r="D213" s="17"/>
      <c r="E213" s="1"/>
      <c r="F213" s="126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7"/>
      <c r="B214" s="142"/>
      <c r="C214" s="17"/>
      <c r="D214" s="17"/>
      <c r="E214" s="1"/>
      <c r="F214" s="126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7"/>
      <c r="B215" s="142"/>
      <c r="C215" s="17"/>
      <c r="D215" s="17"/>
      <c r="E215" s="1"/>
      <c r="F215" s="126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7"/>
      <c r="B216" s="142"/>
      <c r="C216" s="17"/>
      <c r="D216" s="17"/>
      <c r="E216" s="1"/>
      <c r="F216" s="126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7"/>
      <c r="B217" s="142"/>
      <c r="C217" s="17"/>
      <c r="D217" s="17"/>
      <c r="E217" s="1"/>
      <c r="F217" s="126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7"/>
      <c r="B218" s="142"/>
      <c r="C218" s="17"/>
      <c r="D218" s="17"/>
      <c r="E218" s="1"/>
      <c r="F218" s="126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7"/>
      <c r="B219" s="142"/>
      <c r="C219" s="17"/>
      <c r="D219" s="17"/>
      <c r="E219" s="1"/>
      <c r="F219" s="126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7"/>
      <c r="B220" s="142"/>
      <c r="C220" s="17"/>
      <c r="D220" s="17"/>
      <c r="E220" s="1"/>
      <c r="F220" s="126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7"/>
      <c r="B221" s="142"/>
      <c r="C221" s="17"/>
      <c r="D221" s="17"/>
      <c r="E221" s="1"/>
      <c r="F221" s="126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7"/>
      <c r="B222" s="142"/>
      <c r="C222" s="17"/>
      <c r="D222" s="17"/>
      <c r="E222" s="1"/>
      <c r="F222" s="126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7"/>
      <c r="B223" s="142"/>
      <c r="C223" s="17"/>
      <c r="D223" s="17"/>
      <c r="E223" s="1"/>
      <c r="F223" s="126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7"/>
      <c r="B224" s="142"/>
      <c r="C224" s="17"/>
      <c r="D224" s="17"/>
      <c r="E224" s="1"/>
      <c r="F224" s="126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7"/>
      <c r="B225" s="142"/>
      <c r="C225" s="17"/>
      <c r="D225" s="17"/>
      <c r="E225" s="1"/>
      <c r="F225" s="126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7"/>
      <c r="B226" s="142"/>
      <c r="C226" s="17"/>
      <c r="D226" s="17"/>
      <c r="E226" s="1"/>
      <c r="F226" s="126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7"/>
      <c r="B227" s="142"/>
      <c r="C227" s="17"/>
      <c r="D227" s="17"/>
      <c r="E227" s="1"/>
      <c r="F227" s="126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7"/>
      <c r="B228" s="142"/>
      <c r="C228" s="17"/>
      <c r="D228" s="17"/>
      <c r="E228" s="1"/>
      <c r="F228" s="126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7"/>
      <c r="B229" s="142"/>
      <c r="C229" s="17"/>
      <c r="D229" s="17"/>
      <c r="E229" s="1"/>
      <c r="F229" s="126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7"/>
      <c r="B230" s="142"/>
      <c r="C230" s="17"/>
      <c r="D230" s="17"/>
      <c r="E230" s="1"/>
      <c r="F230" s="126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7"/>
      <c r="B231" s="142"/>
      <c r="C231" s="17"/>
      <c r="D231" s="17"/>
      <c r="E231" s="1"/>
      <c r="F231" s="126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7"/>
      <c r="B232" s="142"/>
      <c r="C232" s="17"/>
      <c r="D232" s="17"/>
      <c r="E232" s="1"/>
      <c r="F232" s="126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7"/>
      <c r="B233" s="142"/>
      <c r="C233" s="17"/>
      <c r="D233" s="17"/>
      <c r="E233" s="1"/>
      <c r="F233" s="126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7"/>
      <c r="B234" s="142"/>
      <c r="C234" s="17"/>
      <c r="D234" s="17"/>
      <c r="E234" s="1"/>
      <c r="F234" s="126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7"/>
      <c r="B235" s="142"/>
      <c r="C235" s="17"/>
      <c r="D235" s="17"/>
      <c r="E235" s="1"/>
      <c r="F235" s="126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7"/>
      <c r="B236" s="142"/>
      <c r="C236" s="17"/>
      <c r="D236" s="17"/>
      <c r="E236" s="1"/>
      <c r="F236" s="126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7"/>
      <c r="B237" s="142"/>
      <c r="C237" s="17"/>
      <c r="D237" s="17"/>
      <c r="E237" s="1"/>
      <c r="F237" s="126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7"/>
      <c r="B238" s="142"/>
      <c r="C238" s="17"/>
      <c r="D238" s="17"/>
      <c r="E238" s="1"/>
      <c r="F238" s="126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7"/>
      <c r="B239" s="142"/>
      <c r="C239" s="17"/>
      <c r="D239" s="17"/>
      <c r="E239" s="1"/>
      <c r="F239" s="126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7"/>
      <c r="B240" s="142"/>
      <c r="C240" s="17"/>
      <c r="D240" s="17"/>
      <c r="E240" s="1"/>
      <c r="F240" s="126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7"/>
      <c r="B241" s="142"/>
      <c r="C241" s="17"/>
      <c r="D241" s="17"/>
      <c r="E241" s="1"/>
      <c r="F241" s="126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7"/>
      <c r="B242" s="142"/>
      <c r="C242" s="17"/>
      <c r="D242" s="17"/>
      <c r="E242" s="1"/>
      <c r="F242" s="126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7"/>
      <c r="B243" s="142"/>
      <c r="C243" s="17"/>
      <c r="D243" s="17"/>
      <c r="E243" s="1"/>
      <c r="F243" s="126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7"/>
      <c r="B244" s="142"/>
      <c r="C244" s="17"/>
      <c r="D244" s="17"/>
      <c r="E244" s="1"/>
      <c r="F244" s="126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7"/>
      <c r="B245" s="142"/>
      <c r="C245" s="17"/>
      <c r="D245" s="17"/>
      <c r="E245" s="1"/>
      <c r="F245" s="126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7"/>
      <c r="B246" s="142"/>
      <c r="C246" s="17"/>
      <c r="D246" s="17"/>
      <c r="E246" s="1"/>
      <c r="F246" s="126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7"/>
      <c r="B247" s="142"/>
      <c r="C247" s="17"/>
      <c r="D247" s="17"/>
      <c r="E247" s="1"/>
      <c r="F247" s="126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7"/>
      <c r="B248" s="142"/>
      <c r="C248" s="17"/>
      <c r="D248" s="17"/>
      <c r="E248" s="1"/>
      <c r="F248" s="126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7"/>
      <c r="B249" s="142"/>
      <c r="C249" s="17"/>
      <c r="D249" s="17"/>
      <c r="E249" s="1"/>
      <c r="F249" s="126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7"/>
      <c r="B250" s="142"/>
      <c r="C250" s="17"/>
      <c r="D250" s="17"/>
      <c r="E250" s="1"/>
      <c r="F250" s="126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7"/>
      <c r="B251" s="142"/>
      <c r="C251" s="17"/>
      <c r="D251" s="17"/>
      <c r="E251" s="1"/>
      <c r="F251" s="126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7"/>
      <c r="B252" s="142"/>
      <c r="C252" s="17"/>
      <c r="D252" s="17"/>
      <c r="E252" s="1"/>
      <c r="F252" s="126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7"/>
      <c r="B253" s="142"/>
      <c r="C253" s="17"/>
      <c r="D253" s="17"/>
      <c r="E253" s="1"/>
      <c r="F253" s="126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7"/>
      <c r="B254" s="142"/>
      <c r="C254" s="17"/>
      <c r="D254" s="17"/>
      <c r="E254" s="1"/>
      <c r="F254" s="126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7"/>
      <c r="B255" s="142"/>
      <c r="C255" s="17"/>
      <c r="D255" s="17"/>
      <c r="E255" s="1"/>
      <c r="F255" s="126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7"/>
      <c r="B256" s="142"/>
      <c r="C256" s="17"/>
      <c r="D256" s="17"/>
      <c r="E256" s="1"/>
      <c r="F256" s="126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7"/>
      <c r="B257" s="142"/>
      <c r="C257" s="17"/>
      <c r="D257" s="17"/>
      <c r="E257" s="1"/>
      <c r="F257" s="126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7"/>
      <c r="B258" s="142"/>
      <c r="C258" s="17"/>
      <c r="D258" s="17"/>
      <c r="E258" s="1"/>
      <c r="F258" s="126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7"/>
      <c r="B259" s="142"/>
      <c r="C259" s="17"/>
      <c r="D259" s="17"/>
      <c r="E259" s="1"/>
      <c r="F259" s="126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7"/>
      <c r="B260" s="142"/>
      <c r="C260" s="17"/>
      <c r="D260" s="17"/>
      <c r="E260" s="1"/>
      <c r="F260" s="126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7"/>
      <c r="B261" s="142"/>
      <c r="C261" s="17"/>
      <c r="D261" s="17"/>
      <c r="E261" s="1"/>
      <c r="F261" s="126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7"/>
      <c r="B262" s="142"/>
      <c r="C262" s="17"/>
      <c r="D262" s="17"/>
      <c r="E262" s="1"/>
      <c r="F262" s="126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7"/>
      <c r="B263" s="142"/>
      <c r="C263" s="17"/>
      <c r="D263" s="17"/>
      <c r="E263" s="1"/>
      <c r="F263" s="126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7"/>
      <c r="B264" s="142"/>
      <c r="C264" s="17"/>
      <c r="D264" s="17"/>
      <c r="E264" s="1"/>
      <c r="F264" s="126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7"/>
      <c r="B265" s="142"/>
      <c r="C265" s="17"/>
      <c r="D265" s="17"/>
      <c r="E265" s="1"/>
      <c r="F265" s="126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7"/>
      <c r="B266" s="142"/>
      <c r="C266" s="17"/>
      <c r="D266" s="17"/>
      <c r="E266" s="1"/>
      <c r="F266" s="126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7"/>
      <c r="B267" s="142"/>
      <c r="C267" s="17"/>
      <c r="D267" s="17"/>
      <c r="E267" s="1"/>
      <c r="F267" s="126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7"/>
      <c r="B268" s="142"/>
      <c r="C268" s="17"/>
      <c r="D268" s="17"/>
      <c r="E268" s="1"/>
      <c r="F268" s="126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7"/>
      <c r="B269" s="142"/>
      <c r="C269" s="17"/>
      <c r="D269" s="17"/>
      <c r="E269" s="1"/>
      <c r="F269" s="126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7"/>
      <c r="B270" s="142"/>
      <c r="C270" s="17"/>
      <c r="D270" s="17"/>
      <c r="E270" s="1"/>
      <c r="F270" s="126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7"/>
      <c r="B271" s="142"/>
      <c r="C271" s="17"/>
      <c r="D271" s="17"/>
      <c r="E271" s="1"/>
      <c r="F271" s="126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7"/>
      <c r="B272" s="142"/>
      <c r="C272" s="17"/>
      <c r="D272" s="17"/>
      <c r="E272" s="1"/>
      <c r="F272" s="126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7"/>
      <c r="B273" s="142"/>
      <c r="C273" s="17"/>
      <c r="D273" s="17"/>
      <c r="E273" s="1"/>
      <c r="F273" s="126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7"/>
      <c r="B274" s="142"/>
      <c r="C274" s="17"/>
      <c r="D274" s="17"/>
      <c r="E274" s="1"/>
      <c r="F274" s="126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7"/>
      <c r="B275" s="142"/>
      <c r="C275" s="17"/>
      <c r="D275" s="17"/>
      <c r="E275" s="1"/>
      <c r="F275" s="126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7"/>
      <c r="B276" s="142"/>
      <c r="C276" s="17"/>
      <c r="D276" s="17"/>
      <c r="E276" s="1"/>
      <c r="F276" s="126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7"/>
      <c r="B277" s="142"/>
      <c r="C277" s="17"/>
      <c r="D277" s="17"/>
      <c r="E277" s="1"/>
      <c r="F277" s="126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7"/>
      <c r="B278" s="142"/>
      <c r="C278" s="17"/>
      <c r="D278" s="17"/>
      <c r="E278" s="1"/>
      <c r="F278" s="126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7"/>
      <c r="B279" s="142"/>
      <c r="C279" s="17"/>
      <c r="D279" s="17"/>
      <c r="E279" s="1"/>
      <c r="F279" s="126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7"/>
      <c r="B280" s="142"/>
      <c r="C280" s="17"/>
      <c r="D280" s="17"/>
      <c r="E280" s="1"/>
      <c r="F280" s="126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7"/>
      <c r="B281" s="142"/>
      <c r="C281" s="17"/>
      <c r="D281" s="17"/>
      <c r="E281" s="1"/>
      <c r="F281" s="126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7"/>
      <c r="B282" s="142"/>
      <c r="C282" s="17"/>
      <c r="D282" s="17"/>
      <c r="E282" s="1"/>
      <c r="F282" s="126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7"/>
      <c r="B283" s="142"/>
      <c r="C283" s="17"/>
      <c r="D283" s="17"/>
      <c r="E283" s="1"/>
      <c r="F283" s="126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7"/>
      <c r="B284" s="142"/>
      <c r="C284" s="17"/>
      <c r="D284" s="17"/>
      <c r="E284" s="1"/>
      <c r="F284" s="126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7"/>
      <c r="B285" s="142"/>
      <c r="C285" s="17"/>
      <c r="D285" s="17"/>
      <c r="E285" s="1"/>
      <c r="F285" s="126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7"/>
      <c r="B286" s="142"/>
      <c r="C286" s="17"/>
      <c r="D286" s="17"/>
      <c r="E286" s="1"/>
      <c r="F286" s="126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7"/>
      <c r="B287" s="142"/>
      <c r="C287" s="17"/>
      <c r="D287" s="17"/>
      <c r="E287" s="1"/>
      <c r="F287" s="126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7"/>
      <c r="B288" s="142"/>
      <c r="C288" s="17"/>
      <c r="D288" s="17"/>
      <c r="E288" s="1"/>
      <c r="F288" s="126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7"/>
      <c r="B289" s="142"/>
      <c r="C289" s="17"/>
      <c r="D289" s="17"/>
      <c r="E289" s="1"/>
      <c r="F289" s="126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7"/>
      <c r="B290" s="142"/>
      <c r="C290" s="17"/>
      <c r="D290" s="17"/>
      <c r="E290" s="1"/>
      <c r="F290" s="126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7"/>
      <c r="B291" s="142"/>
      <c r="C291" s="17"/>
      <c r="D291" s="17"/>
      <c r="E291" s="1"/>
      <c r="F291" s="126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7"/>
      <c r="B292" s="142"/>
      <c r="C292" s="17"/>
      <c r="D292" s="17"/>
      <c r="E292" s="1"/>
      <c r="F292" s="126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7"/>
      <c r="B293" s="142"/>
      <c r="C293" s="17"/>
      <c r="D293" s="17"/>
      <c r="E293" s="1"/>
      <c r="F293" s="126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7"/>
      <c r="B294" s="142"/>
      <c r="C294" s="17"/>
      <c r="D294" s="17"/>
      <c r="E294" s="1"/>
      <c r="F294" s="126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7"/>
      <c r="B295" s="142"/>
      <c r="C295" s="17"/>
      <c r="D295" s="17"/>
      <c r="E295" s="1"/>
      <c r="F295" s="126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7"/>
      <c r="B296" s="142"/>
      <c r="C296" s="17"/>
      <c r="D296" s="17"/>
      <c r="E296" s="1"/>
      <c r="F296" s="126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7"/>
      <c r="B297" s="142"/>
      <c r="C297" s="17"/>
      <c r="D297" s="17"/>
      <c r="E297" s="1"/>
      <c r="F297" s="126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7"/>
      <c r="B298" s="142"/>
      <c r="C298" s="17"/>
      <c r="D298" s="17"/>
      <c r="E298" s="1"/>
      <c r="F298" s="126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7"/>
      <c r="B299" s="142"/>
      <c r="C299" s="17"/>
      <c r="D299" s="17"/>
      <c r="E299" s="1"/>
      <c r="F299" s="126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7"/>
      <c r="B300" s="142"/>
      <c r="C300" s="17"/>
      <c r="D300" s="17"/>
      <c r="E300" s="1"/>
      <c r="F300" s="126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7"/>
      <c r="B301" s="142"/>
      <c r="C301" s="17"/>
      <c r="D301" s="17"/>
      <c r="E301" s="1"/>
      <c r="F301" s="126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7"/>
      <c r="B302" s="142"/>
      <c r="C302" s="17"/>
      <c r="D302" s="17"/>
      <c r="E302" s="1"/>
      <c r="F302" s="126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7"/>
      <c r="B303" s="142"/>
      <c r="C303" s="17"/>
      <c r="D303" s="17"/>
      <c r="E303" s="1"/>
      <c r="F303" s="126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7"/>
      <c r="B304" s="142"/>
      <c r="C304" s="17"/>
      <c r="D304" s="17"/>
      <c r="E304" s="1"/>
      <c r="F304" s="126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7"/>
      <c r="B305" s="142"/>
      <c r="C305" s="17"/>
      <c r="D305" s="17"/>
      <c r="E305" s="1"/>
      <c r="F305" s="126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7"/>
      <c r="B306" s="142"/>
      <c r="C306" s="17"/>
      <c r="D306" s="17"/>
      <c r="E306" s="1"/>
      <c r="F306" s="126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7"/>
      <c r="B307" s="142"/>
      <c r="C307" s="17"/>
      <c r="D307" s="17"/>
      <c r="E307" s="1"/>
      <c r="F307" s="126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7"/>
      <c r="B308" s="142"/>
      <c r="C308" s="17"/>
      <c r="D308" s="17"/>
      <c r="E308" s="1"/>
      <c r="F308" s="126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7"/>
      <c r="B309" s="142"/>
      <c r="C309" s="17"/>
      <c r="D309" s="17"/>
      <c r="E309" s="1"/>
      <c r="F309" s="126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7"/>
      <c r="B310" s="142"/>
      <c r="C310" s="17"/>
      <c r="D310" s="17"/>
      <c r="E310" s="1"/>
      <c r="F310" s="126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7"/>
      <c r="B311" s="142"/>
      <c r="C311" s="17"/>
      <c r="D311" s="17"/>
      <c r="E311" s="1"/>
      <c r="F311" s="126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7"/>
      <c r="B312" s="142"/>
      <c r="C312" s="17"/>
      <c r="D312" s="17"/>
      <c r="E312" s="1"/>
      <c r="F312" s="126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7"/>
      <c r="B313" s="142"/>
      <c r="C313" s="17"/>
      <c r="D313" s="17"/>
      <c r="E313" s="1"/>
      <c r="F313" s="126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7"/>
      <c r="B314" s="142"/>
      <c r="C314" s="17"/>
      <c r="D314" s="17"/>
      <c r="E314" s="1"/>
      <c r="F314" s="126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7"/>
      <c r="B315" s="142"/>
      <c r="C315" s="17"/>
      <c r="D315" s="17"/>
      <c r="E315" s="1"/>
      <c r="F315" s="126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7"/>
      <c r="B316" s="142"/>
      <c r="C316" s="17"/>
      <c r="D316" s="17"/>
      <c r="E316" s="1"/>
      <c r="F316" s="126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7"/>
      <c r="B317" s="142"/>
      <c r="C317" s="17"/>
      <c r="D317" s="17"/>
      <c r="E317" s="1"/>
      <c r="F317" s="126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7"/>
      <c r="B318" s="142"/>
      <c r="C318" s="17"/>
      <c r="D318" s="17"/>
      <c r="E318" s="1"/>
      <c r="F318" s="126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7"/>
      <c r="B319" s="142"/>
      <c r="C319" s="17"/>
      <c r="D319" s="17"/>
      <c r="E319" s="1"/>
      <c r="F319" s="126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7"/>
      <c r="B320" s="142"/>
      <c r="C320" s="17"/>
      <c r="D320" s="17"/>
      <c r="E320" s="1"/>
      <c r="F320" s="126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7"/>
      <c r="B321" s="142"/>
      <c r="C321" s="17"/>
      <c r="D321" s="17"/>
      <c r="E321" s="1"/>
      <c r="F321" s="126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7"/>
      <c r="B322" s="142"/>
      <c r="C322" s="17"/>
      <c r="D322" s="17"/>
      <c r="E322" s="1"/>
      <c r="F322" s="126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7"/>
      <c r="B323" s="142"/>
      <c r="C323" s="17"/>
      <c r="D323" s="17"/>
      <c r="E323" s="1"/>
      <c r="F323" s="126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7"/>
      <c r="B324" s="142"/>
      <c r="C324" s="17"/>
      <c r="D324" s="17"/>
      <c r="E324" s="1"/>
      <c r="F324" s="126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7"/>
      <c r="B325" s="142"/>
      <c r="C325" s="17"/>
      <c r="D325" s="17"/>
      <c r="E325" s="1"/>
      <c r="F325" s="126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7"/>
      <c r="B326" s="142"/>
      <c r="C326" s="17"/>
      <c r="D326" s="17"/>
      <c r="E326" s="1"/>
      <c r="F326" s="126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7"/>
      <c r="B327" s="142"/>
      <c r="C327" s="17"/>
      <c r="D327" s="17"/>
      <c r="E327" s="1"/>
      <c r="F327" s="126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7"/>
      <c r="B328" s="142"/>
      <c r="C328" s="17"/>
      <c r="D328" s="17"/>
      <c r="E328" s="1"/>
      <c r="F328" s="126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7"/>
      <c r="B329" s="142"/>
      <c r="C329" s="17"/>
      <c r="D329" s="17"/>
      <c r="E329" s="1"/>
      <c r="F329" s="126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7"/>
      <c r="B330" s="142"/>
      <c r="C330" s="17"/>
      <c r="D330" s="17"/>
      <c r="E330" s="1"/>
      <c r="F330" s="126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7"/>
      <c r="B331" s="142"/>
      <c r="C331" s="17"/>
      <c r="D331" s="17"/>
      <c r="E331" s="1"/>
      <c r="F331" s="126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7"/>
      <c r="B332" s="142"/>
      <c r="C332" s="17"/>
      <c r="D332" s="17"/>
      <c r="E332" s="1"/>
      <c r="F332" s="126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7"/>
      <c r="B333" s="142"/>
      <c r="C333" s="17"/>
      <c r="D333" s="17"/>
      <c r="E333" s="1"/>
      <c r="F333" s="126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7"/>
      <c r="B334" s="142"/>
      <c r="C334" s="17"/>
      <c r="D334" s="17"/>
      <c r="E334" s="1"/>
      <c r="F334" s="126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7"/>
      <c r="B335" s="142"/>
      <c r="C335" s="17"/>
      <c r="D335" s="17"/>
      <c r="E335" s="1"/>
      <c r="F335" s="126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7"/>
      <c r="B336" s="142"/>
      <c r="C336" s="17"/>
      <c r="D336" s="17"/>
      <c r="E336" s="1"/>
      <c r="F336" s="126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7"/>
      <c r="B337" s="142"/>
      <c r="C337" s="17"/>
      <c r="D337" s="17"/>
      <c r="E337" s="1"/>
      <c r="F337" s="126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7"/>
      <c r="B338" s="142"/>
      <c r="C338" s="17"/>
      <c r="D338" s="17"/>
      <c r="E338" s="1"/>
      <c r="F338" s="126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7"/>
      <c r="B339" s="142"/>
      <c r="C339" s="17"/>
      <c r="D339" s="17"/>
      <c r="E339" s="1"/>
      <c r="F339" s="126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7"/>
      <c r="B340" s="142"/>
      <c r="C340" s="17"/>
      <c r="D340" s="17"/>
      <c r="E340" s="1"/>
      <c r="F340" s="126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7"/>
      <c r="B341" s="142"/>
      <c r="C341" s="17"/>
      <c r="D341" s="17"/>
      <c r="E341" s="1"/>
      <c r="F341" s="126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7"/>
      <c r="B342" s="142"/>
      <c r="C342" s="17"/>
      <c r="D342" s="17"/>
      <c r="E342" s="1"/>
      <c r="F342" s="126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7"/>
      <c r="B343" s="142"/>
      <c r="C343" s="17"/>
      <c r="D343" s="17"/>
      <c r="E343" s="1"/>
      <c r="F343" s="126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7"/>
      <c r="B344" s="142"/>
      <c r="C344" s="17"/>
      <c r="D344" s="17"/>
      <c r="E344" s="1"/>
      <c r="F344" s="126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7"/>
      <c r="B345" s="142"/>
      <c r="C345" s="17"/>
      <c r="D345" s="17"/>
      <c r="E345" s="1"/>
      <c r="F345" s="126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7"/>
      <c r="B346" s="142"/>
      <c r="C346" s="17"/>
      <c r="D346" s="17"/>
      <c r="E346" s="1"/>
      <c r="F346" s="126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7"/>
      <c r="B347" s="142"/>
      <c r="C347" s="17"/>
      <c r="D347" s="17"/>
      <c r="E347" s="1"/>
      <c r="F347" s="126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7"/>
      <c r="B348" s="142"/>
      <c r="C348" s="17"/>
      <c r="D348" s="17"/>
      <c r="E348" s="1"/>
      <c r="F348" s="126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7"/>
      <c r="B349" s="142"/>
      <c r="C349" s="17"/>
      <c r="D349" s="17"/>
      <c r="E349" s="1"/>
      <c r="F349" s="126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7"/>
      <c r="B350" s="142"/>
      <c r="C350" s="17"/>
      <c r="D350" s="17"/>
      <c r="E350" s="1"/>
      <c r="F350" s="126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7"/>
      <c r="B351" s="142"/>
      <c r="C351" s="17"/>
      <c r="D351" s="17"/>
      <c r="E351" s="1"/>
      <c r="F351" s="126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7"/>
      <c r="B352" s="142"/>
      <c r="C352" s="17"/>
      <c r="D352" s="17"/>
      <c r="E352" s="1"/>
      <c r="F352" s="126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7"/>
      <c r="B353" s="142"/>
      <c r="C353" s="17"/>
      <c r="D353" s="17"/>
      <c r="E353" s="1"/>
      <c r="F353" s="126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7"/>
      <c r="B354" s="142"/>
      <c r="C354" s="17"/>
      <c r="D354" s="17"/>
      <c r="E354" s="1"/>
      <c r="F354" s="126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7"/>
      <c r="B355" s="142"/>
      <c r="C355" s="17"/>
      <c r="D355" s="17"/>
      <c r="E355" s="1"/>
      <c r="F355" s="126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7"/>
      <c r="B356" s="142"/>
      <c r="C356" s="17"/>
      <c r="D356" s="17"/>
      <c r="E356" s="1"/>
      <c r="F356" s="126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7"/>
      <c r="B357" s="142"/>
      <c r="C357" s="17"/>
      <c r="D357" s="17"/>
      <c r="E357" s="1"/>
      <c r="F357" s="126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7"/>
      <c r="B358" s="142"/>
      <c r="C358" s="17"/>
      <c r="D358" s="17"/>
      <c r="E358" s="1"/>
      <c r="F358" s="126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7"/>
      <c r="B359" s="142"/>
      <c r="C359" s="17"/>
      <c r="D359" s="17"/>
      <c r="E359" s="1"/>
      <c r="F359" s="126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7"/>
      <c r="B360" s="142"/>
      <c r="C360" s="17"/>
      <c r="D360" s="17"/>
      <c r="E360" s="1"/>
      <c r="F360" s="126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7"/>
      <c r="B361" s="142"/>
      <c r="C361" s="17"/>
      <c r="D361" s="17"/>
      <c r="E361" s="1"/>
      <c r="F361" s="126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7"/>
      <c r="B362" s="142"/>
      <c r="C362" s="17"/>
      <c r="D362" s="17"/>
      <c r="E362" s="1"/>
      <c r="F362" s="126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7"/>
      <c r="B363" s="142"/>
      <c r="C363" s="17"/>
      <c r="D363" s="17"/>
      <c r="E363" s="1"/>
      <c r="F363" s="126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7"/>
      <c r="B364" s="142"/>
      <c r="C364" s="17"/>
      <c r="D364" s="17"/>
      <c r="E364" s="1"/>
      <c r="F364" s="126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7"/>
      <c r="B365" s="142"/>
      <c r="C365" s="17"/>
      <c r="D365" s="17"/>
      <c r="E365" s="1"/>
      <c r="F365" s="126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7"/>
      <c r="B366" s="142"/>
      <c r="C366" s="17"/>
      <c r="D366" s="17"/>
      <c r="E366" s="1"/>
      <c r="F366" s="126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7"/>
      <c r="B367" s="142"/>
      <c r="C367" s="17"/>
      <c r="D367" s="17"/>
      <c r="E367" s="1"/>
      <c r="F367" s="126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7"/>
      <c r="B368" s="142"/>
      <c r="C368" s="17"/>
      <c r="D368" s="17"/>
      <c r="E368" s="1"/>
      <c r="F368" s="126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7"/>
      <c r="B369" s="142"/>
      <c r="C369" s="17"/>
      <c r="D369" s="17"/>
      <c r="E369" s="1"/>
      <c r="F369" s="126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7"/>
      <c r="B370" s="142"/>
      <c r="C370" s="17"/>
      <c r="D370" s="17"/>
      <c r="E370" s="1"/>
      <c r="F370" s="126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7"/>
      <c r="B371" s="142"/>
      <c r="C371" s="17"/>
      <c r="D371" s="17"/>
      <c r="E371" s="1"/>
      <c r="F371" s="126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7"/>
      <c r="B372" s="142"/>
      <c r="C372" s="17"/>
      <c r="D372" s="17"/>
      <c r="E372" s="1"/>
      <c r="F372" s="126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7"/>
      <c r="B373" s="142"/>
      <c r="C373" s="17"/>
      <c r="D373" s="17"/>
      <c r="E373" s="1"/>
      <c r="F373" s="126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7"/>
      <c r="B374" s="142"/>
      <c r="C374" s="17"/>
      <c r="D374" s="17"/>
      <c r="E374" s="1"/>
      <c r="F374" s="126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7"/>
      <c r="B375" s="142"/>
      <c r="C375" s="17"/>
      <c r="D375" s="17"/>
      <c r="E375" s="1"/>
      <c r="F375" s="126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7"/>
      <c r="B376" s="142"/>
      <c r="C376" s="17"/>
      <c r="D376" s="17"/>
      <c r="E376" s="1"/>
      <c r="F376" s="126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7"/>
      <c r="B377" s="142"/>
      <c r="C377" s="17"/>
      <c r="D377" s="17"/>
      <c r="E377" s="1"/>
      <c r="F377" s="126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7"/>
      <c r="B378" s="142"/>
      <c r="C378" s="17"/>
      <c r="D378" s="17"/>
      <c r="E378" s="1"/>
      <c r="F378" s="126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7"/>
      <c r="B379" s="142"/>
      <c r="C379" s="17"/>
      <c r="D379" s="17"/>
      <c r="E379" s="1"/>
      <c r="F379" s="126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7"/>
      <c r="B380" s="142"/>
      <c r="C380" s="17"/>
      <c r="D380" s="17"/>
      <c r="E380" s="1"/>
      <c r="F380" s="126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7"/>
      <c r="B381" s="142"/>
      <c r="C381" s="17"/>
      <c r="D381" s="17"/>
      <c r="E381" s="1"/>
      <c r="F381" s="126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7"/>
      <c r="B382" s="142"/>
      <c r="C382" s="17"/>
      <c r="D382" s="17"/>
      <c r="E382" s="1"/>
      <c r="F382" s="126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7"/>
      <c r="B383" s="142"/>
      <c r="C383" s="17"/>
      <c r="D383" s="17"/>
      <c r="E383" s="1"/>
      <c r="F383" s="126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7"/>
      <c r="B384" s="142"/>
      <c r="C384" s="17"/>
      <c r="D384" s="17"/>
      <c r="E384" s="1"/>
      <c r="F384" s="126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7"/>
      <c r="B385" s="142"/>
      <c r="C385" s="17"/>
      <c r="D385" s="17"/>
      <c r="E385" s="1"/>
      <c r="F385" s="126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7"/>
      <c r="B386" s="142"/>
      <c r="C386" s="17"/>
      <c r="D386" s="17"/>
      <c r="E386" s="1"/>
      <c r="F386" s="126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7"/>
      <c r="B387" s="142"/>
      <c r="C387" s="17"/>
      <c r="D387" s="17"/>
      <c r="E387" s="1"/>
      <c r="F387" s="126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7"/>
      <c r="B388" s="142"/>
      <c r="C388" s="17"/>
      <c r="D388" s="17"/>
      <c r="E388" s="1"/>
      <c r="F388" s="126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7"/>
      <c r="B389" s="142"/>
      <c r="C389" s="17"/>
      <c r="D389" s="17"/>
      <c r="E389" s="1"/>
      <c r="F389" s="126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7"/>
      <c r="B390" s="142"/>
      <c r="C390" s="17"/>
      <c r="D390" s="17"/>
      <c r="E390" s="1"/>
      <c r="F390" s="126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7"/>
      <c r="B391" s="142"/>
      <c r="C391" s="17"/>
      <c r="D391" s="17"/>
      <c r="E391" s="1"/>
      <c r="F391" s="126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7"/>
      <c r="B392" s="142"/>
      <c r="C392" s="17"/>
      <c r="D392" s="17"/>
      <c r="E392" s="1"/>
      <c r="F392" s="126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7"/>
      <c r="B393" s="142"/>
      <c r="C393" s="17"/>
      <c r="D393" s="17"/>
      <c r="E393" s="1"/>
      <c r="F393" s="126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7"/>
      <c r="B394" s="142"/>
      <c r="C394" s="17"/>
      <c r="D394" s="17"/>
      <c r="E394" s="1"/>
      <c r="F394" s="126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7"/>
      <c r="B395" s="142"/>
      <c r="C395" s="17"/>
      <c r="D395" s="17"/>
      <c r="E395" s="1"/>
      <c r="F395" s="126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7"/>
      <c r="B396" s="142"/>
      <c r="C396" s="17"/>
      <c r="D396" s="17"/>
      <c r="E396" s="1"/>
      <c r="F396" s="126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7"/>
      <c r="B397" s="142"/>
      <c r="C397" s="17"/>
      <c r="D397" s="17"/>
      <c r="E397" s="1"/>
      <c r="F397" s="126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7"/>
      <c r="B398" s="142"/>
      <c r="C398" s="17"/>
      <c r="D398" s="17"/>
      <c r="E398" s="1"/>
      <c r="F398" s="126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7"/>
      <c r="B399" s="142"/>
      <c r="C399" s="17"/>
      <c r="D399" s="17"/>
      <c r="E399" s="1"/>
      <c r="F399" s="126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7"/>
      <c r="B400" s="142"/>
      <c r="C400" s="17"/>
      <c r="D400" s="17"/>
      <c r="E400" s="1"/>
      <c r="F400" s="126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7"/>
      <c r="B401" s="142"/>
      <c r="C401" s="17"/>
      <c r="D401" s="17"/>
      <c r="E401" s="1"/>
      <c r="F401" s="126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7"/>
      <c r="B402" s="142"/>
      <c r="C402" s="17"/>
      <c r="D402" s="17"/>
      <c r="E402" s="1"/>
      <c r="F402" s="126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7"/>
      <c r="B403" s="142"/>
      <c r="C403" s="17"/>
      <c r="D403" s="17"/>
      <c r="E403" s="1"/>
      <c r="F403" s="126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7"/>
      <c r="B404" s="142"/>
      <c r="C404" s="17"/>
      <c r="D404" s="17"/>
      <c r="E404" s="1"/>
      <c r="F404" s="126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7"/>
      <c r="B405" s="142"/>
      <c r="C405" s="17"/>
      <c r="D405" s="17"/>
      <c r="E405" s="1"/>
      <c r="F405" s="126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7"/>
      <c r="B406" s="142"/>
      <c r="C406" s="17"/>
      <c r="D406" s="17"/>
      <c r="E406" s="1"/>
      <c r="F406" s="126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7"/>
      <c r="B407" s="142"/>
      <c r="C407" s="17"/>
      <c r="D407" s="17"/>
      <c r="E407" s="1"/>
      <c r="F407" s="126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7"/>
      <c r="B408" s="142"/>
      <c r="C408" s="17"/>
      <c r="D408" s="17"/>
      <c r="E408" s="1"/>
      <c r="F408" s="126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7"/>
      <c r="B409" s="142"/>
      <c r="C409" s="17"/>
      <c r="D409" s="17"/>
      <c r="E409" s="1"/>
      <c r="F409" s="126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7"/>
      <c r="B410" s="142"/>
      <c r="C410" s="17"/>
      <c r="D410" s="17"/>
      <c r="E410" s="1"/>
      <c r="F410" s="126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7"/>
      <c r="B411" s="142"/>
      <c r="C411" s="17"/>
      <c r="D411" s="17"/>
      <c r="E411" s="1"/>
      <c r="F411" s="126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7"/>
      <c r="B412" s="142"/>
      <c r="C412" s="17"/>
      <c r="D412" s="17"/>
      <c r="E412" s="1"/>
      <c r="F412" s="126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7"/>
      <c r="B413" s="142"/>
      <c r="C413" s="17"/>
      <c r="D413" s="17"/>
      <c r="E413" s="1"/>
      <c r="F413" s="126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7"/>
      <c r="B414" s="142"/>
      <c r="C414" s="17"/>
      <c r="D414" s="17"/>
      <c r="E414" s="1"/>
      <c r="F414" s="126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7"/>
      <c r="B415" s="142"/>
      <c r="C415" s="17"/>
      <c r="D415" s="17"/>
      <c r="E415" s="1"/>
      <c r="F415" s="126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7"/>
      <c r="B416" s="142"/>
      <c r="C416" s="17"/>
      <c r="D416" s="17"/>
      <c r="E416" s="1"/>
      <c r="F416" s="126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7"/>
      <c r="B417" s="142"/>
      <c r="C417" s="17"/>
      <c r="D417" s="17"/>
      <c r="E417" s="1"/>
      <c r="F417" s="126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7"/>
      <c r="B418" s="142"/>
      <c r="C418" s="17"/>
      <c r="D418" s="17"/>
      <c r="E418" s="1"/>
      <c r="F418" s="126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7"/>
      <c r="B419" s="142"/>
      <c r="C419" s="17"/>
      <c r="D419" s="17"/>
      <c r="E419" s="1"/>
      <c r="F419" s="126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7"/>
      <c r="B420" s="142"/>
      <c r="C420" s="17"/>
      <c r="D420" s="17"/>
      <c r="E420" s="1"/>
      <c r="F420" s="126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7"/>
      <c r="B421" s="142"/>
      <c r="C421" s="17"/>
      <c r="D421" s="17"/>
      <c r="E421" s="1"/>
      <c r="F421" s="126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7"/>
      <c r="B422" s="142"/>
      <c r="C422" s="17"/>
      <c r="D422" s="17"/>
      <c r="E422" s="1"/>
      <c r="F422" s="126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7"/>
      <c r="B423" s="142"/>
      <c r="C423" s="17"/>
      <c r="D423" s="17"/>
      <c r="E423" s="1"/>
      <c r="F423" s="126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7"/>
      <c r="B424" s="142"/>
      <c r="C424" s="17"/>
      <c r="D424" s="17"/>
      <c r="E424" s="1"/>
      <c r="F424" s="126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7"/>
      <c r="B425" s="142"/>
      <c r="C425" s="17"/>
      <c r="D425" s="17"/>
      <c r="E425" s="1"/>
      <c r="F425" s="126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7"/>
      <c r="B426" s="142"/>
      <c r="C426" s="17"/>
      <c r="D426" s="17"/>
      <c r="E426" s="1"/>
      <c r="F426" s="126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7"/>
      <c r="B427" s="142"/>
      <c r="C427" s="17"/>
      <c r="D427" s="17"/>
      <c r="E427" s="1"/>
      <c r="F427" s="126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7"/>
      <c r="B428" s="142"/>
      <c r="C428" s="17"/>
      <c r="D428" s="17"/>
      <c r="E428" s="1"/>
      <c r="F428" s="126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7"/>
      <c r="B429" s="142"/>
      <c r="C429" s="17"/>
      <c r="D429" s="17"/>
      <c r="E429" s="1"/>
      <c r="F429" s="126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7"/>
      <c r="B430" s="142"/>
      <c r="C430" s="17"/>
      <c r="D430" s="17"/>
      <c r="E430" s="1"/>
      <c r="F430" s="126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7"/>
      <c r="B431" s="142"/>
      <c r="C431" s="17"/>
      <c r="D431" s="17"/>
      <c r="E431" s="1"/>
      <c r="F431" s="126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7"/>
      <c r="B432" s="142"/>
      <c r="C432" s="17"/>
      <c r="D432" s="17"/>
      <c r="E432" s="1"/>
      <c r="F432" s="126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7"/>
      <c r="B433" s="142"/>
      <c r="C433" s="17"/>
      <c r="D433" s="17"/>
      <c r="E433" s="1"/>
      <c r="F433" s="126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7"/>
      <c r="B434" s="142"/>
      <c r="C434" s="17"/>
      <c r="D434" s="17"/>
      <c r="E434" s="1"/>
      <c r="F434" s="126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7"/>
      <c r="B435" s="142"/>
      <c r="C435" s="17"/>
      <c r="D435" s="17"/>
      <c r="E435" s="1"/>
      <c r="F435" s="126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7"/>
      <c r="B436" s="142"/>
      <c r="C436" s="17"/>
      <c r="D436" s="17"/>
      <c r="E436" s="1"/>
      <c r="F436" s="126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7"/>
      <c r="B437" s="142"/>
      <c r="C437" s="17"/>
      <c r="D437" s="17"/>
      <c r="E437" s="1"/>
      <c r="F437" s="126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7"/>
      <c r="B438" s="142"/>
      <c r="C438" s="17"/>
      <c r="D438" s="17"/>
      <c r="E438" s="1"/>
      <c r="F438" s="126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7"/>
      <c r="B439" s="142"/>
      <c r="C439" s="17"/>
      <c r="D439" s="17"/>
      <c r="E439" s="1"/>
      <c r="F439" s="126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7"/>
      <c r="B440" s="142"/>
      <c r="C440" s="17"/>
      <c r="D440" s="17"/>
      <c r="E440" s="1"/>
      <c r="F440" s="126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7"/>
      <c r="B441" s="142"/>
      <c r="C441" s="17"/>
      <c r="D441" s="17"/>
      <c r="E441" s="1"/>
      <c r="F441" s="126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7"/>
      <c r="B442" s="142"/>
      <c r="C442" s="17"/>
      <c r="D442" s="17"/>
      <c r="E442" s="1"/>
      <c r="F442" s="126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7"/>
      <c r="B443" s="142"/>
      <c r="C443" s="17"/>
      <c r="D443" s="17"/>
      <c r="E443" s="1"/>
      <c r="F443" s="126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7"/>
      <c r="B444" s="142"/>
      <c r="C444" s="17"/>
      <c r="D444" s="17"/>
      <c r="E444" s="1"/>
      <c r="F444" s="126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7"/>
      <c r="B445" s="142"/>
      <c r="C445" s="17"/>
      <c r="D445" s="17"/>
      <c r="E445" s="1"/>
      <c r="F445" s="126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7"/>
      <c r="B446" s="142"/>
      <c r="C446" s="17"/>
      <c r="D446" s="17"/>
      <c r="E446" s="1"/>
      <c r="F446" s="126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7"/>
      <c r="B447" s="142"/>
      <c r="C447" s="17"/>
      <c r="D447" s="17"/>
      <c r="E447" s="1"/>
      <c r="F447" s="126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7"/>
      <c r="B448" s="142"/>
      <c r="C448" s="17"/>
      <c r="D448" s="17"/>
      <c r="E448" s="1"/>
      <c r="F448" s="126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7"/>
      <c r="B449" s="142"/>
      <c r="C449" s="17"/>
      <c r="D449" s="17"/>
      <c r="E449" s="1"/>
      <c r="F449" s="126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7"/>
      <c r="B450" s="142"/>
      <c r="C450" s="17"/>
      <c r="D450" s="17"/>
      <c r="E450" s="1"/>
      <c r="F450" s="126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7"/>
      <c r="B451" s="142"/>
      <c r="C451" s="17"/>
      <c r="D451" s="17"/>
      <c r="E451" s="1"/>
      <c r="F451" s="126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7"/>
      <c r="B452" s="142"/>
      <c r="C452" s="17"/>
      <c r="D452" s="17"/>
      <c r="E452" s="1"/>
      <c r="F452" s="126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7"/>
      <c r="B453" s="142"/>
      <c r="C453" s="17"/>
      <c r="D453" s="17"/>
      <c r="E453" s="1"/>
      <c r="F453" s="126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7"/>
      <c r="B454" s="142"/>
      <c r="C454" s="17"/>
      <c r="D454" s="17"/>
      <c r="E454" s="1"/>
      <c r="F454" s="126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7"/>
      <c r="B455" s="142"/>
      <c r="C455" s="17"/>
      <c r="D455" s="17"/>
      <c r="E455" s="1"/>
      <c r="F455" s="126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7"/>
      <c r="B456" s="142"/>
      <c r="C456" s="17"/>
      <c r="D456" s="17"/>
      <c r="E456" s="1"/>
      <c r="F456" s="126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7"/>
      <c r="B457" s="142"/>
      <c r="C457" s="17"/>
      <c r="D457" s="17"/>
      <c r="E457" s="1"/>
      <c r="F457" s="126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7"/>
      <c r="B458" s="142"/>
      <c r="C458" s="17"/>
      <c r="D458" s="17"/>
      <c r="E458" s="1"/>
      <c r="F458" s="126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7"/>
      <c r="B459" s="142"/>
      <c r="C459" s="17"/>
      <c r="D459" s="17"/>
      <c r="E459" s="1"/>
      <c r="F459" s="126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7"/>
      <c r="B460" s="142"/>
      <c r="C460" s="17"/>
      <c r="D460" s="17"/>
      <c r="E460" s="1"/>
      <c r="F460" s="126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7"/>
      <c r="B461" s="142"/>
      <c r="C461" s="17"/>
      <c r="D461" s="17"/>
      <c r="E461" s="1"/>
      <c r="F461" s="126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7"/>
      <c r="B462" s="142"/>
      <c r="C462" s="17"/>
      <c r="D462" s="17"/>
      <c r="E462" s="1"/>
      <c r="F462" s="126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7"/>
      <c r="B463" s="142"/>
      <c r="C463" s="17"/>
      <c r="D463" s="17"/>
      <c r="E463" s="1"/>
      <c r="F463" s="126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7"/>
      <c r="B464" s="142"/>
      <c r="C464" s="17"/>
      <c r="D464" s="17"/>
      <c r="E464" s="1"/>
      <c r="F464" s="126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7"/>
      <c r="B465" s="142"/>
      <c r="C465" s="17"/>
      <c r="D465" s="17"/>
      <c r="E465" s="1"/>
      <c r="F465" s="126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7"/>
      <c r="B466" s="142"/>
      <c r="C466" s="17"/>
      <c r="D466" s="17"/>
      <c r="E466" s="1"/>
      <c r="F466" s="126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7"/>
      <c r="B467" s="142"/>
      <c r="C467" s="17"/>
      <c r="D467" s="17"/>
      <c r="E467" s="1"/>
      <c r="F467" s="126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7"/>
      <c r="B468" s="142"/>
      <c r="C468" s="17"/>
      <c r="D468" s="17"/>
      <c r="E468" s="1"/>
      <c r="F468" s="126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7"/>
      <c r="B469" s="142"/>
      <c r="C469" s="17"/>
      <c r="D469" s="17"/>
      <c r="E469" s="1"/>
      <c r="F469" s="126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7"/>
      <c r="B470" s="142"/>
      <c r="C470" s="17"/>
      <c r="D470" s="17"/>
      <c r="E470" s="1"/>
      <c r="F470" s="126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7"/>
      <c r="B471" s="142"/>
      <c r="C471" s="17"/>
      <c r="D471" s="17"/>
      <c r="E471" s="1"/>
      <c r="F471" s="126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7"/>
      <c r="B472" s="142"/>
      <c r="C472" s="17"/>
      <c r="D472" s="17"/>
      <c r="E472" s="1"/>
      <c r="F472" s="126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7"/>
      <c r="B473" s="142"/>
      <c r="C473" s="17"/>
      <c r="D473" s="17"/>
      <c r="E473" s="1"/>
      <c r="F473" s="126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7"/>
      <c r="B474" s="142"/>
      <c r="C474" s="17"/>
      <c r="D474" s="17"/>
      <c r="E474" s="1"/>
      <c r="F474" s="126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7"/>
      <c r="B475" s="142"/>
      <c r="C475" s="17"/>
      <c r="D475" s="17"/>
      <c r="E475" s="1"/>
      <c r="F475" s="126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7"/>
      <c r="B476" s="142"/>
      <c r="C476" s="17"/>
      <c r="D476" s="17"/>
      <c r="E476" s="1"/>
      <c r="F476" s="126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7"/>
      <c r="B477" s="142"/>
      <c r="C477" s="17"/>
      <c r="D477" s="17"/>
      <c r="E477" s="1"/>
      <c r="F477" s="126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7"/>
      <c r="B478" s="142"/>
      <c r="C478" s="17"/>
      <c r="D478" s="17"/>
      <c r="E478" s="1"/>
      <c r="F478" s="126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7"/>
      <c r="B479" s="142"/>
      <c r="C479" s="17"/>
      <c r="D479" s="17"/>
      <c r="E479" s="1"/>
      <c r="F479" s="126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7"/>
      <c r="B480" s="142"/>
      <c r="C480" s="17"/>
      <c r="D480" s="17"/>
      <c r="E480" s="1"/>
      <c r="F480" s="126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7"/>
      <c r="B481" s="142"/>
      <c r="C481" s="17"/>
      <c r="D481" s="17"/>
      <c r="E481" s="1"/>
      <c r="F481" s="126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7"/>
      <c r="B482" s="142"/>
      <c r="C482" s="17"/>
      <c r="D482" s="17"/>
      <c r="E482" s="1"/>
      <c r="F482" s="126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7"/>
      <c r="B483" s="142"/>
      <c r="C483" s="17"/>
      <c r="D483" s="17"/>
      <c r="E483" s="1"/>
      <c r="F483" s="126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7"/>
      <c r="B484" s="142"/>
      <c r="C484" s="17"/>
      <c r="D484" s="17"/>
      <c r="E484" s="1"/>
      <c r="F484" s="126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7"/>
      <c r="B485" s="142"/>
      <c r="C485" s="17"/>
      <c r="D485" s="17"/>
      <c r="E485" s="1"/>
      <c r="F485" s="126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7"/>
      <c r="B486" s="142"/>
      <c r="C486" s="17"/>
      <c r="D486" s="17"/>
      <c r="E486" s="1"/>
      <c r="F486" s="126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7"/>
      <c r="B487" s="142"/>
      <c r="C487" s="17"/>
      <c r="D487" s="17"/>
      <c r="E487" s="1"/>
      <c r="F487" s="126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7"/>
      <c r="B488" s="142"/>
      <c r="C488" s="17"/>
      <c r="D488" s="17"/>
      <c r="E488" s="1"/>
      <c r="F488" s="126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7"/>
      <c r="B489" s="142"/>
      <c r="C489" s="17"/>
      <c r="D489" s="17"/>
      <c r="E489" s="1"/>
      <c r="F489" s="126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7"/>
      <c r="B490" s="142"/>
      <c r="C490" s="17"/>
      <c r="D490" s="17"/>
      <c r="E490" s="1"/>
      <c r="F490" s="126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7"/>
      <c r="B491" s="142"/>
      <c r="C491" s="17"/>
      <c r="D491" s="17"/>
      <c r="E491" s="1"/>
      <c r="F491" s="126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7"/>
      <c r="B492" s="142"/>
      <c r="C492" s="17"/>
      <c r="D492" s="17"/>
      <c r="E492" s="1"/>
      <c r="F492" s="126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7"/>
      <c r="B493" s="142"/>
      <c r="C493" s="17"/>
      <c r="D493" s="17"/>
      <c r="E493" s="1"/>
      <c r="F493" s="126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7"/>
      <c r="B494" s="142"/>
      <c r="C494" s="17"/>
      <c r="D494" s="17"/>
      <c r="E494" s="1"/>
      <c r="F494" s="126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7"/>
      <c r="B495" s="142"/>
      <c r="C495" s="17"/>
      <c r="D495" s="17"/>
      <c r="E495" s="1"/>
      <c r="F495" s="126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7"/>
      <c r="B496" s="142"/>
      <c r="C496" s="17"/>
      <c r="D496" s="17"/>
      <c r="E496" s="1"/>
      <c r="F496" s="126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7"/>
      <c r="B497" s="142"/>
      <c r="C497" s="17"/>
      <c r="D497" s="17"/>
      <c r="E497" s="1"/>
      <c r="F497" s="126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7"/>
      <c r="B498" s="142"/>
      <c r="C498" s="17"/>
      <c r="D498" s="17"/>
      <c r="E498" s="1"/>
      <c r="F498" s="126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7"/>
      <c r="B499" s="142"/>
      <c r="C499" s="17"/>
      <c r="D499" s="17"/>
      <c r="E499" s="1"/>
      <c r="F499" s="126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7"/>
      <c r="B500" s="142"/>
      <c r="C500" s="17"/>
      <c r="D500" s="17"/>
      <c r="E500" s="1"/>
      <c r="F500" s="126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7"/>
      <c r="B501" s="142"/>
      <c r="C501" s="17"/>
      <c r="D501" s="17"/>
      <c r="E501" s="1"/>
      <c r="F501" s="126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7"/>
      <c r="B502" s="142"/>
      <c r="C502" s="17"/>
      <c r="D502" s="17"/>
      <c r="E502" s="1"/>
      <c r="F502" s="126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7"/>
      <c r="B503" s="142"/>
      <c r="C503" s="17"/>
      <c r="D503" s="17"/>
      <c r="E503" s="1"/>
      <c r="F503" s="126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7"/>
      <c r="B504" s="142"/>
      <c r="C504" s="17"/>
      <c r="D504" s="17"/>
      <c r="E504" s="1"/>
      <c r="F504" s="126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7"/>
      <c r="B505" s="142"/>
      <c r="C505" s="17"/>
      <c r="D505" s="17"/>
      <c r="E505" s="1"/>
      <c r="F505" s="126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7"/>
      <c r="B506" s="142"/>
      <c r="C506" s="17"/>
      <c r="D506" s="17"/>
      <c r="E506" s="1"/>
      <c r="F506" s="126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7"/>
      <c r="B507" s="142"/>
      <c r="C507" s="17"/>
      <c r="D507" s="17"/>
      <c r="E507" s="1"/>
      <c r="F507" s="126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7"/>
      <c r="B508" s="142"/>
      <c r="C508" s="17"/>
      <c r="D508" s="17"/>
      <c r="E508" s="1"/>
      <c r="F508" s="126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7"/>
      <c r="B509" s="142"/>
      <c r="C509" s="17"/>
      <c r="D509" s="17"/>
      <c r="E509" s="1"/>
      <c r="F509" s="126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7"/>
      <c r="B510" s="142"/>
      <c r="C510" s="17"/>
      <c r="D510" s="17"/>
      <c r="E510" s="1"/>
      <c r="F510" s="126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7"/>
      <c r="B511" s="142"/>
      <c r="C511" s="17"/>
      <c r="D511" s="17"/>
      <c r="E511" s="1"/>
      <c r="F511" s="126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7"/>
      <c r="B512" s="142"/>
      <c r="C512" s="17"/>
      <c r="D512" s="17"/>
      <c r="E512" s="1"/>
      <c r="F512" s="126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7"/>
      <c r="B513" s="142"/>
      <c r="C513" s="17"/>
      <c r="D513" s="17"/>
      <c r="E513" s="1"/>
      <c r="F513" s="126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7"/>
      <c r="B514" s="142"/>
      <c r="C514" s="17"/>
      <c r="D514" s="17"/>
      <c r="E514" s="1"/>
      <c r="F514" s="126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7"/>
      <c r="B515" s="142"/>
      <c r="C515" s="17"/>
      <c r="D515" s="17"/>
      <c r="E515" s="1"/>
      <c r="F515" s="126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7"/>
      <c r="B516" s="142"/>
      <c r="C516" s="17"/>
      <c r="D516" s="17"/>
      <c r="E516" s="1"/>
      <c r="F516" s="126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7"/>
      <c r="B517" s="142"/>
      <c r="C517" s="17"/>
      <c r="D517" s="17"/>
      <c r="E517" s="1"/>
      <c r="F517" s="126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7"/>
      <c r="B518" s="142"/>
      <c r="C518" s="17"/>
      <c r="D518" s="17"/>
      <c r="E518" s="1"/>
      <c r="F518" s="126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7"/>
      <c r="B519" s="142"/>
      <c r="C519" s="17"/>
      <c r="D519" s="17"/>
      <c r="E519" s="1"/>
      <c r="F519" s="126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7"/>
      <c r="B520" s="142"/>
      <c r="C520" s="17"/>
      <c r="D520" s="17"/>
      <c r="E520" s="1"/>
      <c r="F520" s="126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7"/>
      <c r="B521" s="142"/>
      <c r="C521" s="17"/>
      <c r="D521" s="17"/>
      <c r="E521" s="1"/>
      <c r="F521" s="126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7"/>
      <c r="B522" s="142"/>
      <c r="C522" s="17"/>
      <c r="D522" s="17"/>
      <c r="E522" s="1"/>
      <c r="F522" s="126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7"/>
      <c r="B523" s="142"/>
      <c r="C523" s="17"/>
      <c r="D523" s="17"/>
      <c r="E523" s="1"/>
      <c r="F523" s="126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7"/>
      <c r="B524" s="142"/>
      <c r="C524" s="17"/>
      <c r="D524" s="17"/>
      <c r="E524" s="1"/>
      <c r="F524" s="126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7"/>
      <c r="B525" s="142"/>
      <c r="C525" s="17"/>
      <c r="D525" s="17"/>
      <c r="E525" s="1"/>
      <c r="F525" s="126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7"/>
      <c r="B526" s="142"/>
      <c r="C526" s="17"/>
      <c r="D526" s="17"/>
      <c r="E526" s="1"/>
      <c r="F526" s="126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7"/>
      <c r="B527" s="142"/>
      <c r="C527" s="17"/>
      <c r="D527" s="17"/>
      <c r="E527" s="1"/>
      <c r="F527" s="126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7"/>
      <c r="B528" s="142"/>
      <c r="C528" s="17"/>
      <c r="D528" s="17"/>
      <c r="E528" s="1"/>
      <c r="F528" s="126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7"/>
      <c r="B529" s="142"/>
      <c r="C529" s="17"/>
      <c r="D529" s="17"/>
      <c r="E529" s="1"/>
      <c r="F529" s="126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7"/>
      <c r="B530" s="142"/>
      <c r="C530" s="17"/>
      <c r="D530" s="17"/>
      <c r="E530" s="1"/>
      <c r="F530" s="126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7"/>
      <c r="B531" s="142"/>
      <c r="C531" s="17"/>
      <c r="D531" s="17"/>
      <c r="E531" s="1"/>
      <c r="F531" s="126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7"/>
      <c r="B532" s="142"/>
      <c r="C532" s="17"/>
      <c r="D532" s="17"/>
      <c r="E532" s="1"/>
      <c r="F532" s="126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7"/>
      <c r="B533" s="142"/>
      <c r="C533" s="17"/>
      <c r="D533" s="17"/>
      <c r="E533" s="1"/>
      <c r="F533" s="126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7"/>
      <c r="B534" s="142"/>
      <c r="C534" s="17"/>
      <c r="D534" s="17"/>
      <c r="E534" s="1"/>
      <c r="F534" s="126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7"/>
      <c r="B535" s="142"/>
      <c r="C535" s="17"/>
      <c r="D535" s="17"/>
      <c r="E535" s="1"/>
      <c r="F535" s="126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7"/>
      <c r="B536" s="142"/>
      <c r="C536" s="17"/>
      <c r="D536" s="17"/>
      <c r="E536" s="1"/>
      <c r="F536" s="126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7"/>
      <c r="B537" s="142"/>
      <c r="C537" s="17"/>
      <c r="D537" s="17"/>
      <c r="E537" s="1"/>
      <c r="F537" s="126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7"/>
      <c r="B538" s="142"/>
      <c r="C538" s="17"/>
      <c r="D538" s="17"/>
      <c r="E538" s="1"/>
      <c r="F538" s="126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7"/>
      <c r="B539" s="142"/>
      <c r="C539" s="17"/>
      <c r="D539" s="17"/>
      <c r="E539" s="1"/>
      <c r="F539" s="126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7"/>
      <c r="B540" s="142"/>
      <c r="C540" s="17"/>
      <c r="D540" s="17"/>
      <c r="E540" s="1"/>
      <c r="F540" s="126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7"/>
      <c r="B541" s="142"/>
      <c r="C541" s="17"/>
      <c r="D541" s="17"/>
      <c r="E541" s="1"/>
      <c r="F541" s="126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7"/>
      <c r="B542" s="142"/>
      <c r="C542" s="17"/>
      <c r="D542" s="17"/>
      <c r="E542" s="1"/>
      <c r="F542" s="126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7"/>
      <c r="B543" s="142"/>
      <c r="C543" s="17"/>
      <c r="D543" s="17"/>
      <c r="E543" s="1"/>
      <c r="F543" s="126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7"/>
      <c r="B544" s="142"/>
      <c r="C544" s="17"/>
      <c r="D544" s="17"/>
      <c r="E544" s="1"/>
      <c r="F544" s="126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7"/>
      <c r="B545" s="142"/>
      <c r="C545" s="17"/>
      <c r="D545" s="17"/>
      <c r="E545" s="1"/>
      <c r="F545" s="126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7"/>
      <c r="B546" s="142"/>
      <c r="C546" s="17"/>
      <c r="D546" s="17"/>
      <c r="E546" s="1"/>
      <c r="F546" s="126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7"/>
      <c r="B547" s="142"/>
      <c r="C547" s="17"/>
      <c r="D547" s="17"/>
      <c r="E547" s="1"/>
      <c r="F547" s="126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7"/>
      <c r="B548" s="142"/>
      <c r="C548" s="17"/>
      <c r="D548" s="17"/>
      <c r="E548" s="1"/>
      <c r="F548" s="126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7"/>
      <c r="B549" s="142"/>
      <c r="C549" s="17"/>
      <c r="D549" s="17"/>
      <c r="E549" s="1"/>
      <c r="F549" s="126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7"/>
      <c r="B550" s="142"/>
      <c r="C550" s="17"/>
      <c r="D550" s="17"/>
      <c r="E550" s="1"/>
      <c r="F550" s="126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7"/>
      <c r="B551" s="142"/>
      <c r="C551" s="17"/>
      <c r="D551" s="17"/>
      <c r="E551" s="1"/>
      <c r="F551" s="126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7"/>
      <c r="B552" s="142"/>
      <c r="C552" s="17"/>
      <c r="D552" s="17"/>
      <c r="E552" s="1"/>
      <c r="F552" s="126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7"/>
      <c r="B553" s="142"/>
      <c r="C553" s="17"/>
      <c r="D553" s="17"/>
      <c r="E553" s="1"/>
      <c r="F553" s="126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7"/>
      <c r="B554" s="142"/>
      <c r="C554" s="17"/>
      <c r="D554" s="17"/>
      <c r="E554" s="1"/>
      <c r="F554" s="126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7"/>
      <c r="B555" s="142"/>
      <c r="C555" s="17"/>
      <c r="D555" s="17"/>
      <c r="E555" s="1"/>
      <c r="F555" s="126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7"/>
      <c r="B556" s="142"/>
      <c r="C556" s="17"/>
      <c r="D556" s="17"/>
      <c r="E556" s="1"/>
      <c r="F556" s="126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7"/>
      <c r="B557" s="142"/>
      <c r="C557" s="17"/>
      <c r="D557" s="17"/>
      <c r="E557" s="1"/>
      <c r="F557" s="126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7"/>
      <c r="B558" s="142"/>
      <c r="C558" s="17"/>
      <c r="D558" s="17"/>
      <c r="E558" s="1"/>
      <c r="F558" s="126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7"/>
      <c r="B559" s="142"/>
      <c r="C559" s="17"/>
      <c r="D559" s="17"/>
      <c r="E559" s="1"/>
      <c r="F559" s="126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7"/>
      <c r="B560" s="142"/>
      <c r="C560" s="17"/>
      <c r="D560" s="17"/>
      <c r="E560" s="1"/>
      <c r="F560" s="126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7"/>
      <c r="B561" s="142"/>
      <c r="C561" s="17"/>
      <c r="D561" s="17"/>
      <c r="E561" s="1"/>
      <c r="F561" s="126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7"/>
      <c r="B562" s="142"/>
      <c r="C562" s="17"/>
      <c r="D562" s="17"/>
      <c r="E562" s="1"/>
      <c r="F562" s="126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7"/>
      <c r="B563" s="142"/>
      <c r="C563" s="17"/>
      <c r="D563" s="17"/>
      <c r="E563" s="1"/>
      <c r="F563" s="126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7"/>
      <c r="B564" s="142"/>
      <c r="C564" s="17"/>
      <c r="D564" s="17"/>
      <c r="E564" s="1"/>
      <c r="F564" s="126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7"/>
      <c r="B565" s="142"/>
      <c r="C565" s="17"/>
      <c r="D565" s="17"/>
      <c r="E565" s="1"/>
      <c r="F565" s="126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7"/>
      <c r="B566" s="142"/>
      <c r="C566" s="17"/>
      <c r="D566" s="17"/>
      <c r="E566" s="1"/>
      <c r="F566" s="126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7"/>
      <c r="B567" s="142"/>
      <c r="C567" s="17"/>
      <c r="D567" s="17"/>
      <c r="E567" s="1"/>
      <c r="F567" s="126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7"/>
      <c r="B568" s="142"/>
      <c r="C568" s="17"/>
      <c r="D568" s="17"/>
      <c r="E568" s="1"/>
      <c r="F568" s="126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7"/>
      <c r="B569" s="142"/>
      <c r="C569" s="17"/>
      <c r="D569" s="17"/>
      <c r="E569" s="1"/>
      <c r="F569" s="126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7"/>
      <c r="B570" s="142"/>
      <c r="C570" s="17"/>
      <c r="D570" s="17"/>
      <c r="E570" s="1"/>
      <c r="F570" s="126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7"/>
      <c r="B571" s="142"/>
      <c r="C571" s="17"/>
      <c r="D571" s="17"/>
      <c r="E571" s="1"/>
      <c r="F571" s="126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7"/>
      <c r="B572" s="142"/>
      <c r="C572" s="17"/>
      <c r="D572" s="17"/>
      <c r="E572" s="1"/>
      <c r="F572" s="126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7"/>
      <c r="B573" s="142"/>
      <c r="C573" s="17"/>
      <c r="D573" s="17"/>
      <c r="E573" s="1"/>
      <c r="F573" s="126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7"/>
      <c r="B574" s="142"/>
      <c r="C574" s="17"/>
      <c r="D574" s="17"/>
      <c r="E574" s="1"/>
      <c r="F574" s="126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7"/>
      <c r="B575" s="142"/>
      <c r="C575" s="17"/>
      <c r="D575" s="17"/>
      <c r="E575" s="1"/>
      <c r="F575" s="126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7"/>
      <c r="B576" s="142"/>
      <c r="C576" s="17"/>
      <c r="D576" s="17"/>
      <c r="E576" s="1"/>
      <c r="F576" s="126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7"/>
      <c r="B577" s="142"/>
      <c r="C577" s="17"/>
      <c r="D577" s="17"/>
      <c r="E577" s="1"/>
      <c r="F577" s="126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7"/>
      <c r="B578" s="142"/>
      <c r="C578" s="17"/>
      <c r="D578" s="17"/>
      <c r="E578" s="1"/>
      <c r="F578" s="126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7"/>
      <c r="B579" s="142"/>
      <c r="C579" s="17"/>
      <c r="D579" s="17"/>
      <c r="E579" s="1"/>
      <c r="F579" s="126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7"/>
      <c r="B580" s="142"/>
      <c r="C580" s="17"/>
      <c r="D580" s="17"/>
      <c r="E580" s="1"/>
      <c r="F580" s="126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7"/>
      <c r="B581" s="142"/>
      <c r="C581" s="17"/>
      <c r="D581" s="17"/>
      <c r="E581" s="1"/>
      <c r="F581" s="126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7"/>
      <c r="B582" s="142"/>
      <c r="C582" s="17"/>
      <c r="D582" s="17"/>
      <c r="E582" s="1"/>
      <c r="F582" s="126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7"/>
      <c r="B583" s="142"/>
      <c r="C583" s="17"/>
      <c r="D583" s="17"/>
      <c r="E583" s="1"/>
      <c r="F583" s="126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7"/>
      <c r="B584" s="142"/>
      <c r="C584" s="17"/>
      <c r="D584" s="17"/>
      <c r="E584" s="1"/>
      <c r="F584" s="126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7"/>
      <c r="B585" s="142"/>
      <c r="C585" s="17"/>
      <c r="D585" s="17"/>
      <c r="E585" s="1"/>
      <c r="F585" s="126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7"/>
      <c r="B586" s="142"/>
      <c r="C586" s="17"/>
      <c r="D586" s="17"/>
      <c r="E586" s="1"/>
      <c r="F586" s="126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7"/>
      <c r="B587" s="142"/>
      <c r="C587" s="17"/>
      <c r="D587" s="17"/>
      <c r="E587" s="1"/>
      <c r="F587" s="126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7"/>
      <c r="B588" s="142"/>
      <c r="C588" s="17"/>
      <c r="D588" s="17"/>
      <c r="E588" s="1"/>
      <c r="F588" s="126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7"/>
      <c r="B589" s="142"/>
      <c r="C589" s="17"/>
      <c r="D589" s="17"/>
      <c r="E589" s="1"/>
      <c r="F589" s="126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7"/>
      <c r="B590" s="142"/>
      <c r="C590" s="17"/>
      <c r="D590" s="17"/>
      <c r="E590" s="1"/>
      <c r="F590" s="126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7"/>
      <c r="B591" s="142"/>
      <c r="C591" s="17"/>
      <c r="D591" s="17"/>
      <c r="E591" s="1"/>
      <c r="F591" s="126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7"/>
      <c r="B592" s="142"/>
      <c r="C592" s="17"/>
      <c r="D592" s="17"/>
      <c r="E592" s="1"/>
      <c r="F592" s="126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7"/>
      <c r="B593" s="142"/>
      <c r="C593" s="17"/>
      <c r="D593" s="17"/>
      <c r="E593" s="1"/>
      <c r="F593" s="126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7"/>
      <c r="B594" s="142"/>
      <c r="C594" s="17"/>
      <c r="D594" s="17"/>
      <c r="E594" s="1"/>
      <c r="F594" s="126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7"/>
      <c r="B595" s="142"/>
      <c r="C595" s="17"/>
      <c r="D595" s="17"/>
      <c r="E595" s="1"/>
      <c r="F595" s="126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7"/>
      <c r="B596" s="142"/>
      <c r="C596" s="17"/>
      <c r="D596" s="17"/>
      <c r="E596" s="1"/>
      <c r="F596" s="126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7"/>
      <c r="B597" s="142"/>
      <c r="C597" s="17"/>
      <c r="D597" s="17"/>
      <c r="E597" s="1"/>
      <c r="F597" s="126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7"/>
      <c r="B598" s="142"/>
      <c r="C598" s="17"/>
      <c r="D598" s="17"/>
      <c r="E598" s="1"/>
      <c r="F598" s="126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7"/>
      <c r="B599" s="142"/>
      <c r="C599" s="17"/>
      <c r="D599" s="17"/>
      <c r="E599" s="1"/>
      <c r="F599" s="126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7"/>
      <c r="B600" s="142"/>
      <c r="C600" s="17"/>
      <c r="D600" s="17"/>
      <c r="E600" s="1"/>
      <c r="F600" s="126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7"/>
      <c r="B601" s="142"/>
      <c r="C601" s="17"/>
      <c r="D601" s="17"/>
      <c r="E601" s="1"/>
      <c r="F601" s="126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7"/>
      <c r="B602" s="142"/>
      <c r="C602" s="17"/>
      <c r="D602" s="17"/>
      <c r="E602" s="1"/>
      <c r="F602" s="126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7"/>
      <c r="B603" s="142"/>
      <c r="C603" s="17"/>
      <c r="D603" s="17"/>
      <c r="E603" s="1"/>
      <c r="F603" s="126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7"/>
      <c r="B604" s="142"/>
      <c r="C604" s="17"/>
      <c r="D604" s="17"/>
      <c r="E604" s="1"/>
      <c r="F604" s="126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7"/>
      <c r="B605" s="142"/>
      <c r="C605" s="17"/>
      <c r="D605" s="17"/>
      <c r="E605" s="1"/>
      <c r="F605" s="126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7"/>
      <c r="B606" s="142"/>
      <c r="C606" s="17"/>
      <c r="D606" s="17"/>
      <c r="E606" s="1"/>
      <c r="F606" s="126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7"/>
      <c r="B607" s="142"/>
      <c r="C607" s="17"/>
      <c r="D607" s="17"/>
      <c r="E607" s="1"/>
      <c r="F607" s="126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7"/>
      <c r="B608" s="142"/>
      <c r="C608" s="17"/>
      <c r="D608" s="17"/>
      <c r="E608" s="1"/>
      <c r="F608" s="126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7"/>
      <c r="B609" s="142"/>
      <c r="C609" s="17"/>
      <c r="D609" s="17"/>
      <c r="E609" s="1"/>
      <c r="F609" s="126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7"/>
      <c r="B610" s="142"/>
      <c r="C610" s="17"/>
      <c r="D610" s="17"/>
      <c r="E610" s="1"/>
      <c r="F610" s="126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7"/>
      <c r="B611" s="142"/>
      <c r="C611" s="17"/>
      <c r="D611" s="17"/>
      <c r="E611" s="1"/>
      <c r="F611" s="126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7"/>
      <c r="B612" s="142"/>
      <c r="C612" s="17"/>
      <c r="D612" s="17"/>
      <c r="E612" s="1"/>
      <c r="F612" s="126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7"/>
      <c r="B613" s="142"/>
      <c r="C613" s="17"/>
      <c r="D613" s="17"/>
      <c r="E613" s="1"/>
      <c r="F613" s="126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7"/>
      <c r="B614" s="142"/>
      <c r="C614" s="17"/>
      <c r="D614" s="17"/>
      <c r="E614" s="1"/>
      <c r="F614" s="126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7"/>
      <c r="B615" s="142"/>
      <c r="C615" s="17"/>
      <c r="D615" s="17"/>
      <c r="E615" s="1"/>
      <c r="F615" s="126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7"/>
      <c r="B616" s="142"/>
      <c r="C616" s="17"/>
      <c r="D616" s="17"/>
      <c r="E616" s="1"/>
      <c r="F616" s="126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7"/>
      <c r="B617" s="142"/>
      <c r="C617" s="17"/>
      <c r="D617" s="17"/>
      <c r="E617" s="1"/>
      <c r="F617" s="126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7"/>
      <c r="B618" s="142"/>
      <c r="C618" s="17"/>
      <c r="D618" s="17"/>
      <c r="E618" s="1"/>
      <c r="F618" s="126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7"/>
      <c r="B619" s="142"/>
      <c r="C619" s="17"/>
      <c r="D619" s="17"/>
      <c r="E619" s="1"/>
      <c r="F619" s="126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7"/>
      <c r="B620" s="142"/>
      <c r="C620" s="17"/>
      <c r="D620" s="17"/>
      <c r="E620" s="1"/>
      <c r="F620" s="126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7"/>
      <c r="B621" s="142"/>
      <c r="C621" s="17"/>
      <c r="D621" s="17"/>
      <c r="E621" s="1"/>
      <c r="F621" s="126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7"/>
      <c r="B622" s="142"/>
      <c r="C622" s="17"/>
      <c r="D622" s="17"/>
      <c r="E622" s="1"/>
      <c r="F622" s="126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7"/>
      <c r="B623" s="142"/>
      <c r="C623" s="17"/>
      <c r="D623" s="17"/>
      <c r="E623" s="1"/>
      <c r="F623" s="126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7"/>
      <c r="B624" s="142"/>
      <c r="C624" s="17"/>
      <c r="D624" s="17"/>
      <c r="E624" s="1"/>
      <c r="F624" s="126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7"/>
      <c r="B625" s="142"/>
      <c r="C625" s="17"/>
      <c r="D625" s="17"/>
      <c r="E625" s="1"/>
      <c r="F625" s="126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7"/>
      <c r="B626" s="142"/>
      <c r="C626" s="17"/>
      <c r="D626" s="17"/>
      <c r="E626" s="1"/>
      <c r="F626" s="126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7"/>
      <c r="B627" s="142"/>
      <c r="C627" s="17"/>
      <c r="D627" s="17"/>
      <c r="E627" s="1"/>
      <c r="F627" s="126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7"/>
      <c r="B628" s="142"/>
      <c r="C628" s="17"/>
      <c r="D628" s="17"/>
      <c r="E628" s="1"/>
      <c r="F628" s="126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7"/>
      <c r="B629" s="142"/>
      <c r="C629" s="17"/>
      <c r="D629" s="17"/>
      <c r="E629" s="1"/>
      <c r="F629" s="126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7"/>
      <c r="B630" s="142"/>
      <c r="C630" s="17"/>
      <c r="D630" s="17"/>
      <c r="E630" s="1"/>
      <c r="F630" s="126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7"/>
      <c r="B631" s="142"/>
      <c r="C631" s="17"/>
      <c r="D631" s="17"/>
      <c r="E631" s="1"/>
      <c r="F631" s="126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7"/>
      <c r="B632" s="142"/>
      <c r="C632" s="17"/>
      <c r="D632" s="17"/>
      <c r="E632" s="1"/>
      <c r="F632" s="126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7"/>
      <c r="B633" s="142"/>
      <c r="C633" s="17"/>
      <c r="D633" s="17"/>
      <c r="E633" s="1"/>
      <c r="F633" s="126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7"/>
      <c r="B634" s="142"/>
      <c r="C634" s="17"/>
      <c r="D634" s="17"/>
      <c r="E634" s="1"/>
      <c r="F634" s="126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7"/>
      <c r="B635" s="142"/>
      <c r="C635" s="17"/>
      <c r="D635" s="17"/>
      <c r="E635" s="1"/>
      <c r="F635" s="126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7"/>
      <c r="B636" s="142"/>
      <c r="C636" s="17"/>
      <c r="D636" s="17"/>
      <c r="E636" s="1"/>
      <c r="F636" s="126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7"/>
      <c r="B637" s="142"/>
      <c r="C637" s="17"/>
      <c r="D637" s="17"/>
      <c r="E637" s="1"/>
      <c r="F637" s="126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7"/>
      <c r="B638" s="142"/>
      <c r="C638" s="17"/>
      <c r="D638" s="17"/>
      <c r="E638" s="1"/>
      <c r="F638" s="126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7"/>
      <c r="B639" s="142"/>
      <c r="C639" s="17"/>
      <c r="D639" s="17"/>
      <c r="E639" s="1"/>
      <c r="F639" s="126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7"/>
      <c r="B640" s="142"/>
      <c r="C640" s="17"/>
      <c r="D640" s="17"/>
      <c r="E640" s="1"/>
      <c r="F640" s="126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7"/>
      <c r="B641" s="142"/>
      <c r="C641" s="17"/>
      <c r="D641" s="17"/>
      <c r="E641" s="1"/>
      <c r="F641" s="126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7"/>
      <c r="B642" s="142"/>
      <c r="C642" s="17"/>
      <c r="D642" s="17"/>
      <c r="E642" s="1"/>
      <c r="F642" s="126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7"/>
      <c r="B643" s="142"/>
      <c r="C643" s="17"/>
      <c r="D643" s="17"/>
      <c r="E643" s="1"/>
      <c r="F643" s="126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7"/>
      <c r="B644" s="142"/>
      <c r="C644" s="17"/>
      <c r="D644" s="17"/>
      <c r="E644" s="1"/>
      <c r="F644" s="126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7"/>
      <c r="B645" s="142"/>
      <c r="C645" s="17"/>
      <c r="D645" s="17"/>
      <c r="E645" s="1"/>
      <c r="F645" s="126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7"/>
      <c r="B646" s="142"/>
      <c r="C646" s="17"/>
      <c r="D646" s="17"/>
      <c r="E646" s="1"/>
      <c r="F646" s="126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7"/>
      <c r="B647" s="142"/>
      <c r="C647" s="17"/>
      <c r="D647" s="17"/>
      <c r="E647" s="1"/>
      <c r="F647" s="126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7"/>
      <c r="B648" s="142"/>
      <c r="C648" s="17"/>
      <c r="D648" s="17"/>
      <c r="E648" s="1"/>
      <c r="F648" s="126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7"/>
      <c r="B649" s="142"/>
      <c r="C649" s="17"/>
      <c r="D649" s="17"/>
      <c r="E649" s="1"/>
      <c r="F649" s="126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7"/>
      <c r="B650" s="142"/>
      <c r="C650" s="17"/>
      <c r="D650" s="17"/>
      <c r="E650" s="1"/>
      <c r="F650" s="126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7"/>
      <c r="B651" s="142"/>
      <c r="C651" s="17"/>
      <c r="D651" s="17"/>
      <c r="E651" s="1"/>
      <c r="F651" s="126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7"/>
      <c r="B652" s="142"/>
      <c r="C652" s="17"/>
      <c r="D652" s="17"/>
      <c r="E652" s="1"/>
      <c r="F652" s="126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7"/>
      <c r="B653" s="142"/>
      <c r="C653" s="17"/>
      <c r="D653" s="17"/>
      <c r="E653" s="1"/>
      <c r="F653" s="126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7"/>
      <c r="B654" s="142"/>
      <c r="C654" s="17"/>
      <c r="D654" s="17"/>
      <c r="E654" s="1"/>
      <c r="F654" s="126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7"/>
      <c r="B655" s="142"/>
      <c r="C655" s="17"/>
      <c r="D655" s="17"/>
      <c r="E655" s="1"/>
      <c r="F655" s="126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7"/>
      <c r="B656" s="142"/>
      <c r="C656" s="17"/>
      <c r="D656" s="17"/>
      <c r="E656" s="1"/>
      <c r="F656" s="126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7"/>
      <c r="B657" s="142"/>
      <c r="C657" s="17"/>
      <c r="D657" s="17"/>
      <c r="E657" s="1"/>
      <c r="F657" s="126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7"/>
      <c r="B658" s="142"/>
      <c r="C658" s="17"/>
      <c r="D658" s="17"/>
      <c r="E658" s="1"/>
      <c r="F658" s="126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7"/>
      <c r="B659" s="142"/>
      <c r="C659" s="17"/>
      <c r="D659" s="17"/>
      <c r="E659" s="1"/>
      <c r="F659" s="126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7"/>
      <c r="B660" s="142"/>
      <c r="C660" s="17"/>
      <c r="D660" s="17"/>
      <c r="E660" s="1"/>
      <c r="F660" s="126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7"/>
      <c r="B661" s="142"/>
      <c r="C661" s="17"/>
      <c r="D661" s="17"/>
      <c r="E661" s="1"/>
      <c r="F661" s="126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7"/>
      <c r="B662" s="142"/>
      <c r="C662" s="17"/>
      <c r="D662" s="17"/>
      <c r="E662" s="1"/>
      <c r="F662" s="126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7"/>
      <c r="B663" s="142"/>
      <c r="C663" s="17"/>
      <c r="D663" s="17"/>
      <c r="E663" s="1"/>
      <c r="F663" s="126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7"/>
      <c r="B664" s="142"/>
      <c r="C664" s="17"/>
      <c r="D664" s="17"/>
      <c r="E664" s="1"/>
      <c r="F664" s="126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7"/>
      <c r="B665" s="142"/>
      <c r="C665" s="17"/>
      <c r="D665" s="17"/>
      <c r="E665" s="1"/>
      <c r="F665" s="126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7"/>
      <c r="B666" s="142"/>
      <c r="C666" s="17"/>
      <c r="D666" s="17"/>
      <c r="E666" s="1"/>
      <c r="F666" s="126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7"/>
      <c r="B667" s="142"/>
      <c r="C667" s="17"/>
      <c r="D667" s="17"/>
      <c r="E667" s="1"/>
      <c r="F667" s="126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7"/>
      <c r="B668" s="142"/>
      <c r="C668" s="17"/>
      <c r="D668" s="17"/>
      <c r="E668" s="1"/>
      <c r="F668" s="126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7"/>
      <c r="B669" s="142"/>
      <c r="C669" s="17"/>
      <c r="D669" s="17"/>
      <c r="E669" s="1"/>
      <c r="F669" s="126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7"/>
      <c r="B670" s="142"/>
      <c r="C670" s="17"/>
      <c r="D670" s="17"/>
      <c r="E670" s="1"/>
      <c r="F670" s="126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7"/>
      <c r="B671" s="142"/>
      <c r="C671" s="17"/>
      <c r="D671" s="17"/>
      <c r="E671" s="1"/>
      <c r="F671" s="126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7"/>
      <c r="B672" s="142"/>
      <c r="C672" s="17"/>
      <c r="D672" s="17"/>
      <c r="E672" s="1"/>
      <c r="F672" s="126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7"/>
      <c r="B673" s="142"/>
      <c r="C673" s="17"/>
      <c r="D673" s="17"/>
      <c r="E673" s="1"/>
      <c r="F673" s="126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7"/>
      <c r="B674" s="142"/>
      <c r="C674" s="17"/>
      <c r="D674" s="17"/>
      <c r="E674" s="1"/>
      <c r="F674" s="126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7"/>
      <c r="B675" s="142"/>
      <c r="C675" s="17"/>
      <c r="D675" s="17"/>
      <c r="E675" s="1"/>
      <c r="F675" s="126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7"/>
      <c r="B676" s="142"/>
      <c r="C676" s="17"/>
      <c r="D676" s="17"/>
      <c r="E676" s="1"/>
      <c r="F676" s="126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7"/>
      <c r="B677" s="142"/>
      <c r="C677" s="17"/>
      <c r="D677" s="17"/>
      <c r="E677" s="1"/>
      <c r="F677" s="126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7"/>
      <c r="B678" s="142"/>
      <c r="C678" s="17"/>
      <c r="D678" s="17"/>
      <c r="E678" s="1"/>
      <c r="F678" s="126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7"/>
      <c r="B679" s="142"/>
      <c r="C679" s="17"/>
      <c r="D679" s="17"/>
      <c r="E679" s="1"/>
      <c r="F679" s="126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7"/>
      <c r="B680" s="142"/>
      <c r="C680" s="17"/>
      <c r="D680" s="17"/>
      <c r="E680" s="1"/>
      <c r="F680" s="126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7"/>
      <c r="B681" s="142"/>
      <c r="C681" s="17"/>
      <c r="D681" s="17"/>
      <c r="E681" s="1"/>
      <c r="F681" s="126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7"/>
      <c r="B682" s="142"/>
      <c r="C682" s="17"/>
      <c r="D682" s="17"/>
      <c r="E682" s="1"/>
      <c r="F682" s="126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7"/>
      <c r="B683" s="142"/>
      <c r="C683" s="17"/>
      <c r="D683" s="17"/>
      <c r="E683" s="1"/>
      <c r="F683" s="126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7"/>
      <c r="B684" s="142"/>
      <c r="C684" s="17"/>
      <c r="D684" s="17"/>
      <c r="E684" s="1"/>
      <c r="F684" s="126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7"/>
      <c r="B685" s="142"/>
      <c r="C685" s="17"/>
      <c r="D685" s="17"/>
      <c r="E685" s="1"/>
      <c r="F685" s="126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7"/>
      <c r="B686" s="142"/>
      <c r="C686" s="17"/>
      <c r="D686" s="17"/>
      <c r="E686" s="1"/>
      <c r="F686" s="126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7"/>
      <c r="B687" s="142"/>
      <c r="C687" s="17"/>
      <c r="D687" s="17"/>
      <c r="E687" s="1"/>
      <c r="F687" s="126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7"/>
      <c r="B688" s="142"/>
      <c r="C688" s="17"/>
      <c r="D688" s="17"/>
      <c r="E688" s="1"/>
      <c r="F688" s="126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7"/>
      <c r="B689" s="142"/>
      <c r="C689" s="17"/>
      <c r="D689" s="17"/>
      <c r="E689" s="1"/>
      <c r="F689" s="126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7"/>
      <c r="B690" s="142"/>
      <c r="C690" s="17"/>
      <c r="D690" s="17"/>
      <c r="E690" s="1"/>
      <c r="F690" s="126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7"/>
      <c r="B691" s="142"/>
      <c r="C691" s="17"/>
      <c r="D691" s="17"/>
      <c r="E691" s="1"/>
      <c r="F691" s="126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7"/>
      <c r="B692" s="142"/>
      <c r="C692" s="17"/>
      <c r="D692" s="17"/>
      <c r="E692" s="1"/>
      <c r="F692" s="126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7"/>
      <c r="B693" s="142"/>
      <c r="C693" s="17"/>
      <c r="D693" s="17"/>
      <c r="E693" s="1"/>
      <c r="F693" s="126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7"/>
      <c r="B694" s="142"/>
      <c r="C694" s="17"/>
      <c r="D694" s="17"/>
      <c r="E694" s="1"/>
      <c r="F694" s="126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7"/>
      <c r="B695" s="142"/>
      <c r="C695" s="17"/>
      <c r="D695" s="17"/>
      <c r="E695" s="1"/>
      <c r="F695" s="126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7"/>
      <c r="B696" s="142"/>
      <c r="C696" s="17"/>
      <c r="D696" s="17"/>
      <c r="E696" s="1"/>
      <c r="F696" s="126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7"/>
      <c r="B697" s="142"/>
      <c r="C697" s="17"/>
      <c r="D697" s="17"/>
      <c r="E697" s="1"/>
      <c r="F697" s="126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7"/>
      <c r="B698" s="142"/>
      <c r="C698" s="17"/>
      <c r="D698" s="17"/>
      <c r="E698" s="1"/>
      <c r="F698" s="126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7"/>
      <c r="B699" s="142"/>
      <c r="C699" s="17"/>
      <c r="D699" s="17"/>
      <c r="E699" s="1"/>
      <c r="F699" s="126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7"/>
      <c r="B700" s="142"/>
      <c r="C700" s="17"/>
      <c r="D700" s="17"/>
      <c r="E700" s="1"/>
      <c r="F700" s="126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7"/>
      <c r="B701" s="142"/>
      <c r="C701" s="17"/>
      <c r="D701" s="17"/>
      <c r="E701" s="1"/>
      <c r="F701" s="126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7"/>
      <c r="B702" s="142"/>
      <c r="C702" s="17"/>
      <c r="D702" s="17"/>
      <c r="E702" s="1"/>
      <c r="F702" s="126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7"/>
      <c r="B703" s="142"/>
      <c r="C703" s="17"/>
      <c r="D703" s="17"/>
      <c r="E703" s="1"/>
      <c r="F703" s="126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7"/>
      <c r="B704" s="142"/>
      <c r="C704" s="17"/>
      <c r="D704" s="17"/>
      <c r="E704" s="1"/>
      <c r="F704" s="126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7"/>
      <c r="B705" s="142"/>
      <c r="C705" s="17"/>
      <c r="D705" s="17"/>
      <c r="E705" s="1"/>
      <c r="F705" s="126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7"/>
      <c r="B706" s="142"/>
      <c r="C706" s="17"/>
      <c r="D706" s="17"/>
      <c r="E706" s="1"/>
      <c r="F706" s="126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7"/>
      <c r="B707" s="142"/>
      <c r="C707" s="17"/>
      <c r="D707" s="17"/>
      <c r="E707" s="1"/>
      <c r="F707" s="126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7"/>
      <c r="B708" s="142"/>
      <c r="C708" s="17"/>
      <c r="D708" s="17"/>
      <c r="E708" s="1"/>
      <c r="F708" s="126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7"/>
      <c r="B709" s="142"/>
      <c r="C709" s="17"/>
      <c r="D709" s="17"/>
      <c r="E709" s="1"/>
      <c r="F709" s="126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7"/>
      <c r="B710" s="142"/>
      <c r="C710" s="17"/>
      <c r="D710" s="17"/>
      <c r="E710" s="1"/>
      <c r="F710" s="126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7"/>
      <c r="B711" s="142"/>
      <c r="C711" s="17"/>
      <c r="D711" s="17"/>
      <c r="E711" s="1"/>
      <c r="F711" s="126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7"/>
      <c r="B712" s="142"/>
      <c r="C712" s="17"/>
      <c r="D712" s="17"/>
      <c r="E712" s="1"/>
      <c r="F712" s="126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7"/>
      <c r="B713" s="142"/>
      <c r="C713" s="17"/>
      <c r="D713" s="17"/>
      <c r="E713" s="1"/>
      <c r="F713" s="126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7"/>
      <c r="B714" s="142"/>
      <c r="C714" s="17"/>
      <c r="D714" s="17"/>
      <c r="E714" s="1"/>
      <c r="F714" s="126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7"/>
      <c r="B715" s="142"/>
      <c r="C715" s="17"/>
      <c r="D715" s="17"/>
      <c r="E715" s="1"/>
      <c r="F715" s="126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7"/>
      <c r="B716" s="142"/>
      <c r="C716" s="17"/>
      <c r="D716" s="17"/>
      <c r="E716" s="1"/>
      <c r="F716" s="126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7"/>
      <c r="B717" s="142"/>
      <c r="C717" s="17"/>
      <c r="D717" s="17"/>
      <c r="E717" s="1"/>
      <c r="F717" s="126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7"/>
      <c r="B718" s="142"/>
      <c r="C718" s="17"/>
      <c r="D718" s="17"/>
      <c r="E718" s="1"/>
      <c r="F718" s="126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7"/>
      <c r="B719" s="142"/>
      <c r="C719" s="17"/>
      <c r="D719" s="17"/>
      <c r="E719" s="1"/>
      <c r="F719" s="126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7"/>
      <c r="B720" s="142"/>
      <c r="C720" s="17"/>
      <c r="D720" s="17"/>
      <c r="E720" s="1"/>
      <c r="F720" s="126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7"/>
      <c r="B721" s="142"/>
      <c r="C721" s="17"/>
      <c r="D721" s="17"/>
      <c r="E721" s="1"/>
      <c r="F721" s="126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7"/>
      <c r="B722" s="142"/>
      <c r="C722" s="17"/>
      <c r="D722" s="17"/>
      <c r="E722" s="1"/>
      <c r="F722" s="126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7"/>
      <c r="B723" s="142"/>
      <c r="C723" s="17"/>
      <c r="D723" s="17"/>
      <c r="E723" s="1"/>
      <c r="F723" s="126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7"/>
      <c r="B724" s="142"/>
      <c r="C724" s="17"/>
      <c r="D724" s="17"/>
      <c r="E724" s="1"/>
      <c r="F724" s="126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7"/>
      <c r="B725" s="142"/>
      <c r="C725" s="17"/>
      <c r="D725" s="17"/>
      <c r="E725" s="1"/>
      <c r="F725" s="126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7"/>
      <c r="B726" s="142"/>
      <c r="C726" s="17"/>
      <c r="D726" s="17"/>
      <c r="E726" s="1"/>
      <c r="F726" s="126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7"/>
      <c r="B727" s="142"/>
      <c r="C727" s="17"/>
      <c r="D727" s="17"/>
      <c r="E727" s="1"/>
      <c r="F727" s="126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7"/>
      <c r="B728" s="142"/>
      <c r="C728" s="17"/>
      <c r="D728" s="17"/>
      <c r="E728" s="1"/>
      <c r="F728" s="126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7"/>
      <c r="B729" s="142"/>
      <c r="C729" s="17"/>
      <c r="D729" s="17"/>
      <c r="E729" s="1"/>
      <c r="F729" s="126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7"/>
      <c r="B730" s="142"/>
      <c r="C730" s="17"/>
      <c r="D730" s="17"/>
      <c r="E730" s="1"/>
      <c r="F730" s="126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7"/>
      <c r="B731" s="142"/>
      <c r="C731" s="17"/>
      <c r="D731" s="17"/>
      <c r="E731" s="1"/>
      <c r="F731" s="126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7"/>
      <c r="B732" s="142"/>
      <c r="C732" s="17"/>
      <c r="D732" s="17"/>
      <c r="E732" s="1"/>
      <c r="F732" s="126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7"/>
      <c r="B733" s="142"/>
      <c r="C733" s="17"/>
      <c r="D733" s="17"/>
      <c r="E733" s="1"/>
      <c r="F733" s="126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7"/>
      <c r="B734" s="142"/>
      <c r="C734" s="17"/>
      <c r="D734" s="17"/>
      <c r="E734" s="1"/>
      <c r="F734" s="126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7"/>
      <c r="B735" s="142"/>
      <c r="C735" s="17"/>
      <c r="D735" s="17"/>
      <c r="E735" s="1"/>
      <c r="F735" s="126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7"/>
      <c r="B736" s="142"/>
      <c r="C736" s="17"/>
      <c r="D736" s="17"/>
      <c r="E736" s="1"/>
      <c r="F736" s="126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7"/>
      <c r="B737" s="142"/>
      <c r="C737" s="17"/>
      <c r="D737" s="17"/>
      <c r="E737" s="1"/>
      <c r="F737" s="126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7"/>
      <c r="B738" s="142"/>
      <c r="C738" s="17"/>
      <c r="D738" s="17"/>
      <c r="E738" s="1"/>
      <c r="F738" s="126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7"/>
      <c r="B739" s="142"/>
      <c r="C739" s="17"/>
      <c r="D739" s="17"/>
      <c r="E739" s="1"/>
      <c r="F739" s="126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7"/>
      <c r="B740" s="142"/>
      <c r="C740" s="17"/>
      <c r="D740" s="17"/>
      <c r="E740" s="1"/>
      <c r="F740" s="126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7"/>
      <c r="B741" s="142"/>
      <c r="C741" s="17"/>
      <c r="D741" s="17"/>
      <c r="E741" s="1"/>
      <c r="F741" s="126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7"/>
      <c r="B742" s="142"/>
      <c r="C742" s="17"/>
      <c r="D742" s="17"/>
      <c r="E742" s="1"/>
      <c r="F742" s="126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7"/>
      <c r="B743" s="142"/>
      <c r="C743" s="17"/>
      <c r="D743" s="17"/>
      <c r="E743" s="1"/>
      <c r="F743" s="126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7"/>
      <c r="B744" s="142"/>
      <c r="C744" s="17"/>
      <c r="D744" s="17"/>
      <c r="E744" s="1"/>
      <c r="F744" s="126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7"/>
      <c r="B745" s="142"/>
      <c r="C745" s="17"/>
      <c r="D745" s="17"/>
      <c r="E745" s="1"/>
      <c r="F745" s="126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7"/>
      <c r="B746" s="142"/>
      <c r="C746" s="17"/>
      <c r="D746" s="17"/>
      <c r="E746" s="1"/>
      <c r="F746" s="126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7"/>
      <c r="B747" s="142"/>
      <c r="C747" s="17"/>
      <c r="D747" s="17"/>
      <c r="E747" s="1"/>
      <c r="F747" s="126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7"/>
      <c r="B748" s="142"/>
      <c r="C748" s="17"/>
      <c r="D748" s="17"/>
      <c r="E748" s="1"/>
      <c r="F748" s="126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7"/>
      <c r="B749" s="142"/>
      <c r="C749" s="17"/>
      <c r="D749" s="17"/>
      <c r="E749" s="1"/>
      <c r="F749" s="126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7"/>
      <c r="B750" s="142"/>
      <c r="C750" s="17"/>
      <c r="D750" s="17"/>
      <c r="E750" s="1"/>
      <c r="F750" s="126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7"/>
      <c r="B751" s="142"/>
      <c r="C751" s="17"/>
      <c r="D751" s="17"/>
      <c r="E751" s="1"/>
      <c r="F751" s="126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7"/>
      <c r="B752" s="142"/>
      <c r="C752" s="17"/>
      <c r="D752" s="17"/>
      <c r="E752" s="1"/>
      <c r="F752" s="126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7"/>
      <c r="B753" s="142"/>
      <c r="C753" s="17"/>
      <c r="D753" s="17"/>
      <c r="E753" s="1"/>
      <c r="F753" s="126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7"/>
      <c r="B754" s="142"/>
      <c r="C754" s="17"/>
      <c r="D754" s="17"/>
      <c r="E754" s="1"/>
      <c r="F754" s="126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7"/>
      <c r="B755" s="142"/>
      <c r="C755" s="17"/>
      <c r="D755" s="17"/>
      <c r="E755" s="1"/>
      <c r="F755" s="126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7"/>
      <c r="B756" s="142"/>
      <c r="C756" s="17"/>
      <c r="D756" s="17"/>
      <c r="E756" s="1"/>
      <c r="F756" s="126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7"/>
      <c r="B757" s="142"/>
      <c r="C757" s="17"/>
      <c r="D757" s="17"/>
      <c r="E757" s="1"/>
      <c r="F757" s="126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7"/>
      <c r="B758" s="142"/>
      <c r="C758" s="17"/>
      <c r="D758" s="17"/>
      <c r="E758" s="1"/>
      <c r="F758" s="126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7"/>
      <c r="B759" s="142"/>
      <c r="C759" s="17"/>
      <c r="D759" s="17"/>
      <c r="E759" s="1"/>
      <c r="F759" s="126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7"/>
      <c r="B760" s="142"/>
      <c r="C760" s="17"/>
      <c r="D760" s="17"/>
      <c r="E760" s="1"/>
      <c r="F760" s="126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7"/>
      <c r="B761" s="142"/>
      <c r="C761" s="17"/>
      <c r="D761" s="17"/>
      <c r="E761" s="1"/>
      <c r="F761" s="126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7"/>
      <c r="B762" s="142"/>
      <c r="C762" s="17"/>
      <c r="D762" s="17"/>
      <c r="E762" s="1"/>
      <c r="F762" s="126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7"/>
      <c r="B763" s="142"/>
      <c r="C763" s="17"/>
      <c r="D763" s="17"/>
      <c r="E763" s="1"/>
      <c r="F763" s="126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7"/>
      <c r="B764" s="142"/>
      <c r="C764" s="17"/>
      <c r="D764" s="17"/>
      <c r="E764" s="1"/>
      <c r="F764" s="126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7"/>
      <c r="B765" s="142"/>
      <c r="C765" s="17"/>
      <c r="D765" s="17"/>
      <c r="E765" s="1"/>
      <c r="F765" s="126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7"/>
      <c r="B766" s="142"/>
      <c r="C766" s="17"/>
      <c r="D766" s="17"/>
      <c r="E766" s="1"/>
      <c r="F766" s="126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7"/>
      <c r="B767" s="142"/>
      <c r="C767" s="17"/>
      <c r="D767" s="17"/>
      <c r="E767" s="1"/>
      <c r="F767" s="126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7"/>
      <c r="B768" s="142"/>
      <c r="C768" s="17"/>
      <c r="D768" s="17"/>
      <c r="E768" s="1"/>
      <c r="F768" s="126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7"/>
      <c r="B769" s="142"/>
      <c r="C769" s="17"/>
      <c r="D769" s="17"/>
      <c r="E769" s="1"/>
      <c r="F769" s="126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7"/>
      <c r="B770" s="142"/>
      <c r="C770" s="17"/>
      <c r="D770" s="17"/>
      <c r="E770" s="1"/>
      <c r="F770" s="126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7"/>
      <c r="B771" s="142"/>
      <c r="C771" s="17"/>
      <c r="D771" s="17"/>
      <c r="E771" s="1"/>
      <c r="F771" s="126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7"/>
      <c r="B772" s="142"/>
      <c r="C772" s="17"/>
      <c r="D772" s="17"/>
      <c r="E772" s="1"/>
      <c r="F772" s="126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7"/>
      <c r="B773" s="142"/>
      <c r="C773" s="17"/>
      <c r="D773" s="17"/>
      <c r="E773" s="1"/>
      <c r="F773" s="126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7"/>
      <c r="B774" s="142"/>
      <c r="C774" s="17"/>
      <c r="D774" s="17"/>
      <c r="E774" s="1"/>
      <c r="F774" s="126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7"/>
      <c r="B775" s="142"/>
      <c r="C775" s="17"/>
      <c r="D775" s="17"/>
      <c r="E775" s="1"/>
      <c r="F775" s="126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7"/>
      <c r="B776" s="142"/>
      <c r="C776" s="17"/>
      <c r="D776" s="17"/>
      <c r="E776" s="1"/>
      <c r="F776" s="126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7"/>
      <c r="B777" s="142"/>
      <c r="C777" s="17"/>
      <c r="D777" s="17"/>
      <c r="E777" s="1"/>
      <c r="F777" s="126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7"/>
      <c r="B778" s="142"/>
      <c r="C778" s="17"/>
      <c r="D778" s="17"/>
      <c r="E778" s="1"/>
      <c r="F778" s="126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7"/>
      <c r="B779" s="142"/>
      <c r="C779" s="17"/>
      <c r="D779" s="17"/>
      <c r="E779" s="1"/>
      <c r="F779" s="126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7"/>
      <c r="B780" s="142"/>
      <c r="C780" s="17"/>
      <c r="D780" s="17"/>
      <c r="E780" s="1"/>
      <c r="F780" s="126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7"/>
      <c r="B781" s="142"/>
      <c r="C781" s="17"/>
      <c r="D781" s="17"/>
      <c r="E781" s="1"/>
      <c r="F781" s="126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7"/>
      <c r="B782" s="142"/>
      <c r="C782" s="17"/>
      <c r="D782" s="17"/>
      <c r="E782" s="1"/>
      <c r="F782" s="126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7"/>
      <c r="B783" s="142"/>
      <c r="C783" s="17"/>
      <c r="D783" s="17"/>
      <c r="E783" s="1"/>
      <c r="F783" s="126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7"/>
      <c r="B784" s="142"/>
      <c r="C784" s="17"/>
      <c r="D784" s="17"/>
      <c r="E784" s="1"/>
      <c r="F784" s="126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7"/>
      <c r="B785" s="142"/>
      <c r="C785" s="17"/>
      <c r="D785" s="17"/>
      <c r="E785" s="1"/>
      <c r="F785" s="126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7"/>
      <c r="B786" s="142"/>
      <c r="C786" s="17"/>
      <c r="D786" s="17"/>
      <c r="E786" s="1"/>
      <c r="F786" s="126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7"/>
      <c r="B787" s="142"/>
      <c r="C787" s="17"/>
      <c r="D787" s="17"/>
      <c r="E787" s="1"/>
      <c r="F787" s="126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7"/>
      <c r="B788" s="142"/>
      <c r="C788" s="17"/>
      <c r="D788" s="17"/>
      <c r="E788" s="1"/>
      <c r="F788" s="126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7"/>
      <c r="B789" s="142"/>
      <c r="C789" s="17"/>
      <c r="D789" s="17"/>
      <c r="E789" s="1"/>
      <c r="F789" s="126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7"/>
      <c r="B790" s="142"/>
      <c r="C790" s="17"/>
      <c r="D790" s="17"/>
      <c r="E790" s="1"/>
      <c r="F790" s="126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7"/>
      <c r="B791" s="142"/>
      <c r="C791" s="17"/>
      <c r="D791" s="17"/>
      <c r="E791" s="1"/>
      <c r="F791" s="126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7"/>
      <c r="B792" s="142"/>
      <c r="C792" s="17"/>
      <c r="D792" s="17"/>
      <c r="E792" s="1"/>
      <c r="F792" s="126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7"/>
      <c r="B793" s="142"/>
      <c r="C793" s="17"/>
      <c r="D793" s="17"/>
      <c r="E793" s="1"/>
      <c r="F793" s="126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7"/>
      <c r="B794" s="142"/>
      <c r="C794" s="17"/>
      <c r="D794" s="17"/>
      <c r="E794" s="1"/>
      <c r="F794" s="126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7"/>
      <c r="B795" s="142"/>
      <c r="C795" s="17"/>
      <c r="D795" s="17"/>
      <c r="E795" s="1"/>
      <c r="F795" s="126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7"/>
      <c r="B796" s="142"/>
      <c r="C796" s="17"/>
      <c r="D796" s="17"/>
      <c r="E796" s="1"/>
      <c r="F796" s="126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7"/>
      <c r="B797" s="142"/>
      <c r="C797" s="17"/>
      <c r="D797" s="17"/>
      <c r="E797" s="1"/>
      <c r="F797" s="126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7"/>
      <c r="B798" s="142"/>
      <c r="C798" s="17"/>
      <c r="D798" s="17"/>
      <c r="E798" s="1"/>
      <c r="F798" s="126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7"/>
      <c r="B799" s="142"/>
      <c r="C799" s="17"/>
      <c r="D799" s="17"/>
      <c r="E799" s="1"/>
      <c r="F799" s="126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7"/>
      <c r="B800" s="142"/>
      <c r="C800" s="17"/>
      <c r="D800" s="17"/>
      <c r="E800" s="1"/>
      <c r="F800" s="126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7"/>
      <c r="B801" s="142"/>
      <c r="C801" s="17"/>
      <c r="D801" s="17"/>
      <c r="E801" s="1"/>
      <c r="F801" s="126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7"/>
      <c r="B802" s="142"/>
      <c r="C802" s="17"/>
      <c r="D802" s="17"/>
      <c r="E802" s="1"/>
      <c r="F802" s="126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7"/>
      <c r="B803" s="142"/>
      <c r="C803" s="17"/>
      <c r="D803" s="17"/>
      <c r="E803" s="1"/>
      <c r="F803" s="126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7"/>
      <c r="B804" s="142"/>
      <c r="C804" s="17"/>
      <c r="D804" s="17"/>
      <c r="E804" s="1"/>
      <c r="F804" s="126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7"/>
      <c r="B805" s="142"/>
      <c r="C805" s="17"/>
      <c r="D805" s="17"/>
      <c r="E805" s="1"/>
      <c r="F805" s="126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7"/>
      <c r="B806" s="142"/>
      <c r="C806" s="17"/>
      <c r="D806" s="17"/>
      <c r="E806" s="1"/>
      <c r="F806" s="126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7"/>
      <c r="B807" s="142"/>
      <c r="C807" s="17"/>
      <c r="D807" s="17"/>
      <c r="E807" s="1"/>
      <c r="F807" s="126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7"/>
      <c r="B808" s="142"/>
      <c r="C808" s="17"/>
      <c r="D808" s="17"/>
      <c r="E808" s="1"/>
      <c r="F808" s="126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7"/>
      <c r="B809" s="142"/>
      <c r="C809" s="17"/>
      <c r="D809" s="17"/>
      <c r="E809" s="1"/>
      <c r="F809" s="126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7"/>
      <c r="B810" s="142"/>
      <c r="C810" s="17"/>
      <c r="D810" s="17"/>
      <c r="E810" s="1"/>
      <c r="F810" s="126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7"/>
      <c r="B811" s="142"/>
      <c r="C811" s="17"/>
      <c r="D811" s="17"/>
      <c r="E811" s="1"/>
      <c r="F811" s="126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7"/>
      <c r="B812" s="142"/>
      <c r="C812" s="17"/>
      <c r="D812" s="17"/>
      <c r="E812" s="1"/>
      <c r="F812" s="126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7"/>
      <c r="B813" s="142"/>
      <c r="C813" s="17"/>
      <c r="D813" s="17"/>
      <c r="E813" s="1"/>
      <c r="F813" s="126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7"/>
      <c r="B814" s="142"/>
      <c r="C814" s="17"/>
      <c r="D814" s="17"/>
      <c r="E814" s="1"/>
      <c r="F814" s="126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7"/>
      <c r="B815" s="142"/>
      <c r="C815" s="17"/>
      <c r="D815" s="17"/>
      <c r="E815" s="1"/>
      <c r="F815" s="126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7"/>
      <c r="B816" s="142"/>
      <c r="C816" s="17"/>
      <c r="D816" s="17"/>
      <c r="E816" s="1"/>
      <c r="F816" s="126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7"/>
      <c r="B817" s="142"/>
      <c r="C817" s="17"/>
      <c r="D817" s="17"/>
      <c r="E817" s="1"/>
      <c r="F817" s="126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7"/>
      <c r="B818" s="142"/>
      <c r="C818" s="17"/>
      <c r="D818" s="17"/>
      <c r="E818" s="1"/>
      <c r="F818" s="126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7"/>
      <c r="B819" s="142"/>
      <c r="C819" s="17"/>
      <c r="D819" s="17"/>
      <c r="E819" s="1"/>
      <c r="F819" s="126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7"/>
      <c r="B820" s="142"/>
      <c r="C820" s="17"/>
      <c r="D820" s="17"/>
      <c r="E820" s="1"/>
      <c r="F820" s="126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7"/>
      <c r="B821" s="142"/>
      <c r="C821" s="17"/>
      <c r="D821" s="17"/>
      <c r="E821" s="1"/>
      <c r="F821" s="126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7"/>
      <c r="B822" s="142"/>
      <c r="C822" s="17"/>
      <c r="D822" s="17"/>
      <c r="E822" s="1"/>
      <c r="F822" s="126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7"/>
      <c r="B823" s="142"/>
      <c r="C823" s="17"/>
      <c r="D823" s="17"/>
      <c r="E823" s="1"/>
      <c r="F823" s="126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7"/>
      <c r="B824" s="142"/>
      <c r="C824" s="17"/>
      <c r="D824" s="17"/>
      <c r="E824" s="1"/>
      <c r="F824" s="126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7"/>
      <c r="B825" s="142"/>
      <c r="C825" s="17"/>
      <c r="D825" s="17"/>
      <c r="E825" s="1"/>
      <c r="F825" s="126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7"/>
      <c r="B826" s="142"/>
      <c r="C826" s="17"/>
      <c r="D826" s="17"/>
      <c r="E826" s="1"/>
      <c r="F826" s="126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7"/>
      <c r="B827" s="142"/>
      <c r="C827" s="17"/>
      <c r="D827" s="17"/>
      <c r="E827" s="1"/>
      <c r="F827" s="126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7"/>
      <c r="B828" s="142"/>
      <c r="C828" s="17"/>
      <c r="D828" s="17"/>
      <c r="E828" s="1"/>
      <c r="F828" s="126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7"/>
      <c r="B829" s="142"/>
      <c r="C829" s="17"/>
      <c r="D829" s="17"/>
      <c r="E829" s="1"/>
      <c r="F829" s="126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7"/>
      <c r="B830" s="142"/>
      <c r="C830" s="17"/>
      <c r="D830" s="17"/>
      <c r="E830" s="1"/>
      <c r="F830" s="126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7"/>
      <c r="B831" s="142"/>
      <c r="C831" s="17"/>
      <c r="D831" s="17"/>
      <c r="E831" s="1"/>
      <c r="F831" s="126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7"/>
      <c r="B832" s="142"/>
      <c r="C832" s="17"/>
      <c r="D832" s="17"/>
      <c r="E832" s="1"/>
      <c r="F832" s="126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7"/>
      <c r="B833" s="142"/>
      <c r="C833" s="17"/>
      <c r="D833" s="17"/>
      <c r="E833" s="1"/>
      <c r="F833" s="126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7"/>
      <c r="B834" s="142"/>
      <c r="C834" s="17"/>
      <c r="D834" s="17"/>
      <c r="E834" s="1"/>
      <c r="F834" s="126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7"/>
      <c r="B835" s="142"/>
      <c r="C835" s="17"/>
      <c r="D835" s="17"/>
      <c r="E835" s="1"/>
      <c r="F835" s="126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7"/>
      <c r="B836" s="142"/>
      <c r="C836" s="17"/>
      <c r="D836" s="17"/>
      <c r="E836" s="1"/>
      <c r="F836" s="126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7"/>
      <c r="B837" s="142"/>
      <c r="C837" s="17"/>
      <c r="D837" s="17"/>
      <c r="E837" s="1"/>
      <c r="F837" s="126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7"/>
      <c r="B838" s="142"/>
      <c r="C838" s="17"/>
      <c r="D838" s="17"/>
      <c r="E838" s="1"/>
      <c r="F838" s="126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7"/>
      <c r="B839" s="142"/>
      <c r="C839" s="17"/>
      <c r="D839" s="17"/>
      <c r="E839" s="1"/>
      <c r="F839" s="126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7"/>
      <c r="B840" s="142"/>
      <c r="C840" s="17"/>
      <c r="D840" s="17"/>
      <c r="E840" s="1"/>
      <c r="F840" s="126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7"/>
      <c r="B841" s="142"/>
      <c r="C841" s="17"/>
      <c r="D841" s="17"/>
      <c r="E841" s="1"/>
      <c r="F841" s="126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7"/>
      <c r="B842" s="142"/>
      <c r="C842" s="17"/>
      <c r="D842" s="17"/>
      <c r="E842" s="1"/>
      <c r="F842" s="126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7"/>
      <c r="B843" s="142"/>
      <c r="C843" s="17"/>
      <c r="D843" s="17"/>
      <c r="E843" s="1"/>
      <c r="F843" s="126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7"/>
      <c r="B844" s="142"/>
      <c r="C844" s="17"/>
      <c r="D844" s="17"/>
      <c r="E844" s="1"/>
      <c r="F844" s="126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7"/>
      <c r="B845" s="142"/>
      <c r="C845" s="17"/>
      <c r="D845" s="17"/>
      <c r="E845" s="1"/>
      <c r="F845" s="126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7"/>
      <c r="B846" s="142"/>
      <c r="C846" s="17"/>
      <c r="D846" s="17"/>
      <c r="E846" s="1"/>
      <c r="F846" s="126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7"/>
      <c r="B847" s="142"/>
      <c r="C847" s="17"/>
      <c r="D847" s="17"/>
      <c r="E847" s="1"/>
      <c r="F847" s="126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7"/>
      <c r="B848" s="142"/>
      <c r="C848" s="17"/>
      <c r="D848" s="17"/>
      <c r="E848" s="1"/>
      <c r="F848" s="126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7"/>
      <c r="B849" s="142"/>
      <c r="C849" s="17"/>
      <c r="D849" s="17"/>
      <c r="E849" s="1"/>
      <c r="F849" s="126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7"/>
      <c r="B850" s="142"/>
      <c r="C850" s="17"/>
      <c r="D850" s="17"/>
      <c r="E850" s="1"/>
      <c r="F850" s="126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7"/>
      <c r="B851" s="142"/>
      <c r="C851" s="17"/>
      <c r="D851" s="17"/>
      <c r="E851" s="1"/>
      <c r="F851" s="126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7"/>
      <c r="B852" s="142"/>
      <c r="C852" s="17"/>
      <c r="D852" s="17"/>
      <c r="E852" s="1"/>
      <c r="F852" s="126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7"/>
      <c r="B853" s="142"/>
      <c r="C853" s="17"/>
      <c r="D853" s="17"/>
      <c r="E853" s="1"/>
      <c r="F853" s="126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7"/>
      <c r="B854" s="142"/>
      <c r="C854" s="17"/>
      <c r="D854" s="17"/>
      <c r="E854" s="1"/>
      <c r="F854" s="126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7"/>
      <c r="B855" s="142"/>
      <c r="C855" s="17"/>
      <c r="D855" s="17"/>
      <c r="E855" s="1"/>
      <c r="F855" s="126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7"/>
      <c r="B856" s="142"/>
      <c r="C856" s="17"/>
      <c r="D856" s="17"/>
      <c r="E856" s="1"/>
      <c r="F856" s="126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7"/>
      <c r="B857" s="142"/>
      <c r="C857" s="17"/>
      <c r="D857" s="17"/>
      <c r="E857" s="1"/>
      <c r="F857" s="126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7"/>
      <c r="B858" s="142"/>
      <c r="C858" s="17"/>
      <c r="D858" s="17"/>
      <c r="E858" s="1"/>
      <c r="F858" s="126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7"/>
      <c r="B859" s="142"/>
      <c r="C859" s="17"/>
      <c r="D859" s="17"/>
      <c r="E859" s="1"/>
      <c r="F859" s="126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7"/>
      <c r="B860" s="142"/>
      <c r="C860" s="17"/>
      <c r="D860" s="17"/>
      <c r="E860" s="1"/>
      <c r="F860" s="126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7"/>
      <c r="B861" s="142"/>
      <c r="C861" s="17"/>
      <c r="D861" s="17"/>
      <c r="E861" s="1"/>
      <c r="F861" s="126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7"/>
      <c r="B862" s="142"/>
      <c r="C862" s="17"/>
      <c r="D862" s="17"/>
      <c r="E862" s="1"/>
      <c r="F862" s="126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7"/>
      <c r="B863" s="142"/>
      <c r="C863" s="17"/>
      <c r="D863" s="17"/>
      <c r="E863" s="1"/>
      <c r="F863" s="126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7"/>
      <c r="B864" s="142"/>
      <c r="C864" s="17"/>
      <c r="D864" s="17"/>
      <c r="E864" s="1"/>
      <c r="F864" s="126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7"/>
      <c r="B865" s="142"/>
      <c r="C865" s="17"/>
      <c r="D865" s="17"/>
      <c r="E865" s="1"/>
      <c r="F865" s="126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7"/>
      <c r="B866" s="142"/>
      <c r="C866" s="17"/>
      <c r="D866" s="17"/>
      <c r="E866" s="1"/>
      <c r="F866" s="126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7"/>
      <c r="B867" s="142"/>
      <c r="C867" s="17"/>
      <c r="D867" s="17"/>
      <c r="E867" s="1"/>
      <c r="F867" s="126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7"/>
      <c r="B868" s="142"/>
      <c r="C868" s="17"/>
      <c r="D868" s="17"/>
      <c r="E868" s="1"/>
      <c r="F868" s="126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7"/>
      <c r="B869" s="142"/>
      <c r="C869" s="17"/>
      <c r="D869" s="17"/>
      <c r="E869" s="1"/>
      <c r="F869" s="126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7"/>
      <c r="B870" s="142"/>
      <c r="C870" s="17"/>
      <c r="D870" s="17"/>
      <c r="E870" s="1"/>
      <c r="F870" s="126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7"/>
      <c r="B871" s="142"/>
      <c r="C871" s="17"/>
      <c r="D871" s="17"/>
      <c r="E871" s="1"/>
      <c r="F871" s="126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7"/>
      <c r="B872" s="142"/>
      <c r="C872" s="17"/>
      <c r="D872" s="17"/>
      <c r="E872" s="1"/>
      <c r="F872" s="126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7"/>
      <c r="B873" s="142"/>
      <c r="C873" s="17"/>
      <c r="D873" s="17"/>
      <c r="E873" s="1"/>
      <c r="F873" s="126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7"/>
      <c r="B874" s="142"/>
      <c r="C874" s="17"/>
      <c r="D874" s="17"/>
      <c r="E874" s="1"/>
      <c r="F874" s="126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7"/>
      <c r="B875" s="142"/>
      <c r="C875" s="17"/>
      <c r="D875" s="17"/>
      <c r="E875" s="1"/>
      <c r="F875" s="126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7"/>
      <c r="B876" s="142"/>
      <c r="C876" s="17"/>
      <c r="D876" s="17"/>
      <c r="E876" s="1"/>
      <c r="F876" s="126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7"/>
      <c r="B877" s="142"/>
      <c r="C877" s="17"/>
      <c r="D877" s="17"/>
      <c r="E877" s="1"/>
      <c r="F877" s="126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7"/>
      <c r="B878" s="142"/>
      <c r="C878" s="17"/>
      <c r="D878" s="17"/>
      <c r="E878" s="1"/>
      <c r="F878" s="126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7"/>
      <c r="B879" s="142"/>
      <c r="C879" s="17"/>
      <c r="D879" s="17"/>
      <c r="E879" s="1"/>
      <c r="F879" s="126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7"/>
      <c r="B880" s="142"/>
      <c r="C880" s="17"/>
      <c r="D880" s="17"/>
      <c r="E880" s="1"/>
      <c r="F880" s="126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7"/>
      <c r="B881" s="142"/>
      <c r="C881" s="17"/>
      <c r="D881" s="17"/>
      <c r="E881" s="1"/>
      <c r="F881" s="126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7"/>
      <c r="B882" s="142"/>
      <c r="C882" s="17"/>
      <c r="D882" s="17"/>
      <c r="E882" s="1"/>
      <c r="F882" s="126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7"/>
      <c r="B883" s="142"/>
      <c r="C883" s="17"/>
      <c r="D883" s="17"/>
      <c r="E883" s="1"/>
      <c r="F883" s="126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7"/>
      <c r="B884" s="142"/>
      <c r="C884" s="17"/>
      <c r="D884" s="17"/>
      <c r="E884" s="1"/>
      <c r="F884" s="126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7"/>
      <c r="B885" s="142"/>
      <c r="C885" s="17"/>
      <c r="D885" s="17"/>
      <c r="E885" s="1"/>
      <c r="F885" s="126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7"/>
      <c r="B886" s="142"/>
      <c r="C886" s="17"/>
      <c r="D886" s="17"/>
      <c r="E886" s="1"/>
      <c r="F886" s="126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7"/>
      <c r="B887" s="142"/>
      <c r="C887" s="17"/>
      <c r="D887" s="17"/>
      <c r="E887" s="1"/>
      <c r="F887" s="126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7"/>
      <c r="B888" s="142"/>
      <c r="C888" s="17"/>
      <c r="D888" s="17"/>
      <c r="E888" s="1"/>
      <c r="F888" s="126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7"/>
      <c r="B889" s="142"/>
      <c r="C889" s="17"/>
      <c r="D889" s="17"/>
      <c r="E889" s="1"/>
      <c r="F889" s="126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7"/>
      <c r="B890" s="142"/>
      <c r="C890" s="17"/>
      <c r="D890" s="17"/>
      <c r="E890" s="1"/>
      <c r="F890" s="126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7"/>
      <c r="B891" s="142"/>
      <c r="C891" s="17"/>
      <c r="D891" s="17"/>
      <c r="E891" s="1"/>
      <c r="F891" s="126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7"/>
      <c r="B892" s="142"/>
      <c r="C892" s="17"/>
      <c r="D892" s="17"/>
      <c r="E892" s="1"/>
      <c r="F892" s="126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7"/>
      <c r="B893" s="142"/>
      <c r="C893" s="17"/>
      <c r="D893" s="17"/>
      <c r="E893" s="1"/>
      <c r="F893" s="126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7"/>
      <c r="B894" s="142"/>
      <c r="C894" s="17"/>
      <c r="D894" s="17"/>
      <c r="E894" s="1"/>
      <c r="F894" s="126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7"/>
      <c r="B895" s="142"/>
      <c r="C895" s="17"/>
      <c r="D895" s="17"/>
      <c r="E895" s="1"/>
      <c r="F895" s="126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7"/>
      <c r="B896" s="142"/>
      <c r="C896" s="17"/>
      <c r="D896" s="17"/>
      <c r="E896" s="1"/>
      <c r="F896" s="126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7"/>
      <c r="B897" s="142"/>
      <c r="C897" s="17"/>
      <c r="D897" s="17"/>
      <c r="E897" s="1"/>
      <c r="F897" s="126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7"/>
      <c r="B898" s="142"/>
      <c r="C898" s="17"/>
      <c r="D898" s="17"/>
      <c r="E898" s="1"/>
      <c r="F898" s="126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7"/>
      <c r="B899" s="142"/>
      <c r="C899" s="17"/>
      <c r="D899" s="17"/>
      <c r="E899" s="1"/>
      <c r="F899" s="126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7"/>
      <c r="B900" s="142"/>
      <c r="C900" s="17"/>
      <c r="D900" s="17"/>
      <c r="E900" s="1"/>
      <c r="F900" s="126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7"/>
      <c r="B901" s="142"/>
      <c r="C901" s="17"/>
      <c r="D901" s="17"/>
      <c r="E901" s="1"/>
      <c r="F901" s="126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7"/>
      <c r="B902" s="142"/>
      <c r="C902" s="17"/>
      <c r="D902" s="17"/>
      <c r="E902" s="1"/>
      <c r="F902" s="126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7"/>
      <c r="B903" s="142"/>
      <c r="C903" s="17"/>
      <c r="D903" s="17"/>
      <c r="E903" s="1"/>
      <c r="F903" s="126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7"/>
      <c r="B904" s="142"/>
      <c r="C904" s="17"/>
      <c r="D904" s="17"/>
      <c r="E904" s="1"/>
      <c r="F904" s="126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7"/>
      <c r="B905" s="142"/>
      <c r="C905" s="17"/>
      <c r="D905" s="17"/>
      <c r="E905" s="1"/>
      <c r="F905" s="126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7"/>
      <c r="B906" s="142"/>
      <c r="C906" s="17"/>
      <c r="D906" s="17"/>
      <c r="E906" s="1"/>
      <c r="F906" s="126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7"/>
      <c r="B907" s="142"/>
      <c r="C907" s="17"/>
      <c r="D907" s="17"/>
      <c r="E907" s="1"/>
      <c r="F907" s="126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7"/>
      <c r="B908" s="142"/>
      <c r="C908" s="17"/>
      <c r="D908" s="17"/>
      <c r="E908" s="1"/>
      <c r="F908" s="126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7"/>
      <c r="B909" s="142"/>
      <c r="C909" s="17"/>
      <c r="D909" s="17"/>
      <c r="E909" s="1"/>
      <c r="F909" s="126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7"/>
      <c r="B910" s="142"/>
      <c r="C910" s="17"/>
      <c r="D910" s="17"/>
      <c r="E910" s="1"/>
      <c r="F910" s="126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7"/>
      <c r="B911" s="142"/>
      <c r="C911" s="17"/>
      <c r="D911" s="17"/>
      <c r="E911" s="1"/>
      <c r="F911" s="126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7"/>
      <c r="B912" s="142"/>
      <c r="C912" s="17"/>
      <c r="D912" s="17"/>
      <c r="E912" s="1"/>
      <c r="F912" s="126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7"/>
      <c r="B913" s="142"/>
      <c r="C913" s="17"/>
      <c r="D913" s="17"/>
      <c r="E913" s="1"/>
      <c r="F913" s="126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7"/>
      <c r="B914" s="142"/>
      <c r="C914" s="17"/>
      <c r="D914" s="17"/>
      <c r="E914" s="1"/>
      <c r="F914" s="126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7"/>
      <c r="B915" s="142"/>
      <c r="C915" s="17"/>
      <c r="D915" s="17"/>
      <c r="E915" s="1"/>
      <c r="F915" s="126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7"/>
      <c r="B916" s="142"/>
      <c r="C916" s="17"/>
      <c r="D916" s="17"/>
      <c r="E916" s="1"/>
      <c r="F916" s="126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7"/>
      <c r="B917" s="142"/>
      <c r="C917" s="17"/>
      <c r="D917" s="17"/>
      <c r="E917" s="1"/>
      <c r="F917" s="126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7"/>
      <c r="B918" s="142"/>
      <c r="C918" s="17"/>
      <c r="D918" s="17"/>
      <c r="E918" s="1"/>
      <c r="F918" s="126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7"/>
      <c r="B919" s="142"/>
      <c r="C919" s="17"/>
      <c r="D919" s="17"/>
      <c r="E919" s="1"/>
      <c r="F919" s="126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7"/>
      <c r="B920" s="142"/>
      <c r="C920" s="17"/>
      <c r="D920" s="17"/>
      <c r="E920" s="1"/>
      <c r="F920" s="126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7"/>
      <c r="B921" s="142"/>
      <c r="C921" s="17"/>
      <c r="D921" s="17"/>
      <c r="E921" s="1"/>
      <c r="F921" s="126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7"/>
      <c r="B922" s="142"/>
      <c r="C922" s="17"/>
      <c r="D922" s="17"/>
      <c r="E922" s="1"/>
      <c r="F922" s="126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7"/>
      <c r="B923" s="142"/>
      <c r="C923" s="17"/>
      <c r="D923" s="17"/>
      <c r="E923" s="1"/>
      <c r="F923" s="126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7"/>
      <c r="B924" s="142"/>
      <c r="C924" s="17"/>
      <c r="D924" s="17"/>
      <c r="E924" s="1"/>
      <c r="F924" s="126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7"/>
      <c r="B925" s="142"/>
      <c r="C925" s="17"/>
      <c r="D925" s="17"/>
      <c r="E925" s="1"/>
      <c r="F925" s="126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7"/>
      <c r="B926" s="142"/>
      <c r="C926" s="17"/>
      <c r="D926" s="17"/>
      <c r="E926" s="1"/>
      <c r="F926" s="126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7"/>
      <c r="B927" s="142"/>
      <c r="C927" s="17"/>
      <c r="D927" s="17"/>
      <c r="E927" s="1"/>
      <c r="F927" s="126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7"/>
      <c r="B928" s="142"/>
      <c r="C928" s="17"/>
      <c r="D928" s="17"/>
      <c r="E928" s="1"/>
      <c r="F928" s="126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7"/>
      <c r="B929" s="142"/>
      <c r="C929" s="17"/>
      <c r="D929" s="17"/>
      <c r="E929" s="1"/>
      <c r="F929" s="126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7"/>
      <c r="B930" s="142"/>
      <c r="C930" s="17"/>
      <c r="D930" s="17"/>
      <c r="E930" s="1"/>
      <c r="F930" s="126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7"/>
      <c r="B931" s="142"/>
      <c r="C931" s="17"/>
      <c r="D931" s="17"/>
      <c r="E931" s="1"/>
      <c r="F931" s="126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7"/>
      <c r="B932" s="142"/>
      <c r="C932" s="17"/>
      <c r="D932" s="17"/>
      <c r="E932" s="1"/>
      <c r="F932" s="126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7"/>
      <c r="B933" s="142"/>
      <c r="C933" s="17"/>
      <c r="D933" s="17"/>
      <c r="E933" s="1"/>
      <c r="F933" s="126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7"/>
      <c r="B934" s="142"/>
      <c r="C934" s="17"/>
      <c r="D934" s="17"/>
      <c r="E934" s="1"/>
      <c r="F934" s="126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7"/>
      <c r="B935" s="142"/>
      <c r="C935" s="17"/>
      <c r="D935" s="17"/>
      <c r="E935" s="1"/>
      <c r="F935" s="126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7"/>
      <c r="B936" s="142"/>
      <c r="C936" s="17"/>
      <c r="D936" s="17"/>
      <c r="E936" s="1"/>
      <c r="F936" s="126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7"/>
      <c r="B937" s="142"/>
      <c r="C937" s="17"/>
      <c r="D937" s="17"/>
      <c r="E937" s="1"/>
      <c r="F937" s="126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7"/>
      <c r="B938" s="142"/>
      <c r="C938" s="17"/>
      <c r="D938" s="17"/>
      <c r="E938" s="1"/>
      <c r="F938" s="126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7"/>
      <c r="B939" s="142"/>
      <c r="C939" s="17"/>
      <c r="D939" s="17"/>
      <c r="E939" s="1"/>
      <c r="F939" s="126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7"/>
      <c r="B940" s="142"/>
      <c r="C940" s="17"/>
      <c r="D940" s="17"/>
      <c r="E940" s="1"/>
      <c r="F940" s="126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7"/>
      <c r="B941" s="142"/>
      <c r="C941" s="17"/>
      <c r="D941" s="17"/>
      <c r="E941" s="1"/>
      <c r="F941" s="126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7"/>
      <c r="B942" s="142"/>
      <c r="C942" s="17"/>
      <c r="D942" s="17"/>
      <c r="E942" s="1"/>
      <c r="F942" s="126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7"/>
      <c r="B943" s="142"/>
      <c r="C943" s="17"/>
      <c r="D943" s="17"/>
      <c r="E943" s="1"/>
      <c r="F943" s="126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7"/>
      <c r="B944" s="142"/>
      <c r="C944" s="17"/>
      <c r="D944" s="17"/>
      <c r="E944" s="1"/>
      <c r="F944" s="126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7"/>
      <c r="B945" s="142"/>
      <c r="C945" s="17"/>
      <c r="D945" s="17"/>
      <c r="E945" s="1"/>
      <c r="F945" s="126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7"/>
      <c r="B946" s="142"/>
      <c r="C946" s="17"/>
      <c r="D946" s="17"/>
      <c r="E946" s="1"/>
      <c r="F946" s="126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7"/>
      <c r="B947" s="142"/>
      <c r="C947" s="17"/>
      <c r="D947" s="17"/>
      <c r="E947" s="1"/>
      <c r="F947" s="126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7"/>
      <c r="B948" s="142"/>
      <c r="C948" s="17"/>
      <c r="D948" s="17"/>
      <c r="E948" s="1"/>
      <c r="F948" s="126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7"/>
      <c r="B949" s="142"/>
      <c r="C949" s="17"/>
      <c r="D949" s="17"/>
      <c r="E949" s="1"/>
      <c r="F949" s="126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7"/>
      <c r="B950" s="142"/>
      <c r="C950" s="17"/>
      <c r="D950" s="17"/>
      <c r="E950" s="1"/>
      <c r="F950" s="126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7"/>
      <c r="B951" s="142"/>
      <c r="C951" s="17"/>
      <c r="D951" s="17"/>
      <c r="E951" s="1"/>
      <c r="F951" s="126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7"/>
      <c r="B952" s="142"/>
      <c r="C952" s="17"/>
      <c r="D952" s="17"/>
      <c r="E952" s="1"/>
      <c r="F952" s="126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7"/>
      <c r="B953" s="142"/>
      <c r="C953" s="17"/>
      <c r="D953" s="17"/>
      <c r="E953" s="1"/>
      <c r="F953" s="126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7"/>
      <c r="B954" s="142"/>
      <c r="C954" s="17"/>
      <c r="D954" s="17"/>
      <c r="E954" s="1"/>
      <c r="F954" s="126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7"/>
      <c r="B955" s="142"/>
      <c r="C955" s="17"/>
      <c r="D955" s="17"/>
      <c r="E955" s="1"/>
      <c r="F955" s="126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7"/>
      <c r="B956" s="142"/>
      <c r="C956" s="17"/>
      <c r="D956" s="17"/>
      <c r="E956" s="1"/>
      <c r="F956" s="126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7"/>
      <c r="B957" s="142"/>
      <c r="C957" s="17"/>
      <c r="D957" s="17"/>
      <c r="E957" s="1"/>
      <c r="F957" s="126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7"/>
      <c r="B958" s="142"/>
      <c r="C958" s="17"/>
      <c r="D958" s="17"/>
      <c r="E958" s="1"/>
      <c r="F958" s="126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7"/>
      <c r="B959" s="142"/>
      <c r="C959" s="17"/>
      <c r="D959" s="17"/>
      <c r="E959" s="1"/>
      <c r="F959" s="126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7"/>
      <c r="B960" s="142"/>
      <c r="C960" s="17"/>
      <c r="D960" s="17"/>
      <c r="E960" s="1"/>
      <c r="F960" s="126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7"/>
      <c r="B961" s="142"/>
      <c r="C961" s="17"/>
      <c r="D961" s="17"/>
      <c r="E961" s="1"/>
      <c r="F961" s="126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7"/>
      <c r="B962" s="142"/>
      <c r="C962" s="17"/>
      <c r="D962" s="17"/>
      <c r="E962" s="1"/>
      <c r="F962" s="126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7"/>
      <c r="B963" s="142"/>
      <c r="C963" s="17"/>
      <c r="D963" s="17"/>
      <c r="E963" s="1"/>
      <c r="F963" s="126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7"/>
      <c r="B964" s="142"/>
      <c r="C964" s="17"/>
      <c r="D964" s="17"/>
      <c r="E964" s="1"/>
      <c r="F964" s="126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7"/>
      <c r="B965" s="142"/>
      <c r="C965" s="17"/>
      <c r="D965" s="17"/>
      <c r="E965" s="1"/>
      <c r="F965" s="126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7"/>
      <c r="B966" s="142"/>
      <c r="C966" s="17"/>
      <c r="D966" s="17"/>
      <c r="E966" s="1"/>
      <c r="F966" s="126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7"/>
      <c r="B967" s="142"/>
      <c r="C967" s="17"/>
      <c r="D967" s="17"/>
      <c r="E967" s="1"/>
      <c r="F967" s="126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7"/>
      <c r="B968" s="142"/>
      <c r="C968" s="17"/>
      <c r="D968" s="17"/>
      <c r="E968" s="1"/>
      <c r="F968" s="126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7"/>
      <c r="B969" s="142"/>
      <c r="C969" s="17"/>
      <c r="D969" s="17"/>
      <c r="E969" s="1"/>
      <c r="F969" s="126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7"/>
      <c r="B970" s="142"/>
      <c r="C970" s="17"/>
      <c r="D970" s="17"/>
      <c r="E970" s="1"/>
      <c r="F970" s="126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7"/>
      <c r="B971" s="142"/>
      <c r="C971" s="17"/>
      <c r="D971" s="17"/>
      <c r="E971" s="1"/>
      <c r="F971" s="126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7"/>
      <c r="B972" s="142"/>
      <c r="C972" s="17"/>
      <c r="D972" s="17"/>
      <c r="E972" s="1"/>
      <c r="F972" s="126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7"/>
      <c r="B973" s="142"/>
      <c r="C973" s="17"/>
      <c r="D973" s="17"/>
      <c r="E973" s="1"/>
      <c r="F973" s="126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7"/>
      <c r="B974" s="142"/>
      <c r="C974" s="17"/>
      <c r="D974" s="17"/>
      <c r="E974" s="1"/>
      <c r="F974" s="126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7"/>
      <c r="B975" s="142"/>
      <c r="C975" s="17"/>
      <c r="D975" s="17"/>
      <c r="E975" s="1"/>
      <c r="F975" s="126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7"/>
      <c r="B976" s="142"/>
      <c r="C976" s="17"/>
      <c r="D976" s="17"/>
      <c r="E976" s="1"/>
      <c r="F976" s="126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7"/>
      <c r="B977" s="142"/>
      <c r="C977" s="17"/>
      <c r="D977" s="17"/>
      <c r="E977" s="1"/>
      <c r="F977" s="126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7"/>
      <c r="B978" s="142"/>
      <c r="C978" s="17"/>
      <c r="D978" s="17"/>
      <c r="E978" s="1"/>
      <c r="F978" s="126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7"/>
      <c r="B979" s="142"/>
      <c r="C979" s="17"/>
      <c r="D979" s="17"/>
      <c r="E979" s="1"/>
      <c r="F979" s="126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7"/>
      <c r="B980" s="142"/>
      <c r="C980" s="17"/>
      <c r="D980" s="17"/>
      <c r="E980" s="1"/>
      <c r="F980" s="126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7"/>
      <c r="B981" s="142"/>
      <c r="C981" s="17"/>
      <c r="D981" s="17"/>
      <c r="E981" s="1"/>
      <c r="F981" s="126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7"/>
      <c r="B982" s="142"/>
      <c r="C982" s="17"/>
      <c r="D982" s="17"/>
      <c r="E982" s="1"/>
      <c r="F982" s="126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7"/>
      <c r="B983" s="142"/>
      <c r="C983" s="17"/>
      <c r="D983" s="17"/>
      <c r="E983" s="1"/>
      <c r="F983" s="126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7"/>
      <c r="B984" s="142"/>
      <c r="C984" s="17"/>
      <c r="D984" s="17"/>
      <c r="E984" s="1"/>
      <c r="F984" s="126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7"/>
      <c r="B985" s="142"/>
      <c r="C985" s="17"/>
      <c r="D985" s="17"/>
      <c r="E985" s="1"/>
      <c r="F985" s="126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7"/>
      <c r="B986" s="142"/>
      <c r="C986" s="17"/>
      <c r="D986" s="17"/>
      <c r="E986" s="1"/>
      <c r="F986" s="126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7"/>
      <c r="B987" s="142"/>
      <c r="C987" s="17"/>
      <c r="D987" s="17"/>
      <c r="E987" s="1"/>
      <c r="F987" s="126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7"/>
      <c r="B988" s="142"/>
      <c r="C988" s="17"/>
      <c r="D988" s="17"/>
      <c r="E988" s="1"/>
      <c r="F988" s="126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7"/>
      <c r="B989" s="142"/>
      <c r="C989" s="17"/>
      <c r="D989" s="17"/>
      <c r="E989" s="1"/>
      <c r="F989" s="126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7"/>
      <c r="B990" s="142"/>
      <c r="C990" s="17"/>
      <c r="D990" s="17"/>
      <c r="E990" s="1"/>
      <c r="F990" s="126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7"/>
      <c r="B991" s="142"/>
      <c r="C991" s="17"/>
      <c r="D991" s="17"/>
      <c r="E991" s="1"/>
      <c r="F991" s="126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7"/>
      <c r="B992" s="142"/>
      <c r="C992" s="17"/>
      <c r="D992" s="17"/>
      <c r="E992" s="1"/>
      <c r="F992" s="126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7"/>
      <c r="B993" s="142"/>
      <c r="C993" s="17"/>
      <c r="D993" s="17"/>
      <c r="E993" s="1"/>
      <c r="F993" s="126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7"/>
      <c r="B994" s="142"/>
      <c r="C994" s="17"/>
      <c r="D994" s="17"/>
      <c r="E994" s="1"/>
      <c r="F994" s="126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7"/>
      <c r="B995" s="142"/>
      <c r="C995" s="17"/>
      <c r="D995" s="17"/>
      <c r="E995" s="1"/>
      <c r="F995" s="126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7"/>
      <c r="B996" s="142"/>
      <c r="C996" s="17"/>
      <c r="D996" s="17"/>
      <c r="E996" s="1"/>
      <c r="F996" s="126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7"/>
      <c r="B997" s="142"/>
      <c r="C997" s="17"/>
      <c r="D997" s="17"/>
      <c r="E997" s="1"/>
      <c r="F997" s="126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7"/>
      <c r="B998" s="142"/>
      <c r="C998" s="17"/>
      <c r="D998" s="17"/>
      <c r="E998" s="1"/>
      <c r="F998" s="126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7"/>
      <c r="B999" s="142"/>
      <c r="C999" s="17"/>
      <c r="D999" s="17"/>
      <c r="E999" s="1"/>
      <c r="F999" s="126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7"/>
      <c r="B1000" s="142"/>
      <c r="C1000" s="17"/>
      <c r="D1000" s="17"/>
      <c r="E1000" s="1"/>
      <c r="F1000" s="126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  <row r="1001" ht="15.75" customHeight="1">
      <c r="A1001" s="17"/>
      <c r="B1001" s="142"/>
      <c r="C1001" s="17"/>
      <c r="D1001" s="17"/>
      <c r="E1001" s="1"/>
      <c r="F1001" s="126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</row>
  </sheetData>
  <conditionalFormatting sqref="A6:Z117">
    <cfRule type="notContainsBlanks" dxfId="4" priority="1">
      <formula>LEN(TRIM(A6))&gt;0</formula>
    </cfRule>
  </conditionalFormatting>
  <printOptions/>
  <pageMargins bottom="0.511811024" footer="0.0" header="0.0" left="0.787401575" right="0.787401575" top="0.511811024"/>
  <pageSetup paperSize="9" orientation="landscape"/>
  <drawing r:id="rId1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4">
    <pageSetUpPr/>
  </sheetPr>
  <sheetViews>
    <sheetView workbookViewId="0"/>
  </sheetViews>
  <sheetFormatPr customHeight="1" defaultColWidth="14.43" defaultRowHeight="15.0"/>
  <cols>
    <col customWidth="1" min="1" max="1" width="12.43"/>
    <col customWidth="1" min="2" max="2" width="39.14"/>
    <col customWidth="1" min="3" max="3" width="18.0"/>
    <col customWidth="1" min="4" max="4" width="13.71"/>
    <col customWidth="1" min="5" max="7" width="15.43"/>
    <col customWidth="1" min="8" max="26" width="8.71"/>
  </cols>
  <sheetData>
    <row r="1">
      <c r="A1" s="196" t="s">
        <v>432</v>
      </c>
      <c r="B1" s="197"/>
      <c r="C1" s="196"/>
      <c r="D1" s="198"/>
      <c r="E1" s="199"/>
      <c r="F1" s="200"/>
      <c r="G1" s="200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</row>
    <row r="2">
      <c r="A2" s="196" t="s">
        <v>433</v>
      </c>
      <c r="B2" s="197"/>
      <c r="C2" s="196"/>
      <c r="D2" s="198"/>
      <c r="E2" s="199"/>
      <c r="F2" s="200"/>
      <c r="G2" s="200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</row>
    <row r="3">
      <c r="A3" s="201"/>
      <c r="B3" s="197"/>
      <c r="C3" s="201"/>
      <c r="D3" s="202"/>
      <c r="E3" s="203"/>
      <c r="F3" s="204"/>
      <c r="G3" s="204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205" t="s">
        <v>434</v>
      </c>
      <c r="B4" s="206" t="s">
        <v>435</v>
      </c>
      <c r="C4" s="206" t="s">
        <v>436</v>
      </c>
      <c r="D4" s="207" t="s">
        <v>437</v>
      </c>
      <c r="E4" s="203"/>
      <c r="F4" s="204"/>
      <c r="G4" s="204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ht="27.75" customHeight="1">
      <c r="A5" s="208" t="s">
        <v>438</v>
      </c>
      <c r="B5" s="208" t="s">
        <v>439</v>
      </c>
      <c r="C5" s="209">
        <v>1600000.0</v>
      </c>
      <c r="D5" s="208"/>
      <c r="E5" s="203"/>
      <c r="F5" s="204"/>
      <c r="G5" s="204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ht="23.25" customHeight="1">
      <c r="A6" s="208" t="s">
        <v>438</v>
      </c>
      <c r="B6" s="208" t="s">
        <v>440</v>
      </c>
      <c r="C6" s="209">
        <v>75000.0</v>
      </c>
      <c r="D6" s="208"/>
      <c r="E6" s="203"/>
      <c r="F6" s="204"/>
      <c r="G6" s="204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ht="22.5" customHeight="1">
      <c r="A7" s="208" t="s">
        <v>438</v>
      </c>
      <c r="B7" s="208" t="s">
        <v>441</v>
      </c>
      <c r="C7" s="209">
        <v>180000.0</v>
      </c>
      <c r="D7" s="208"/>
      <c r="E7" s="203"/>
      <c r="F7" s="204"/>
      <c r="G7" s="204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ht="33.0" customHeight="1">
      <c r="A8" s="208" t="s">
        <v>438</v>
      </c>
      <c r="B8" s="208" t="s">
        <v>442</v>
      </c>
      <c r="C8" s="209">
        <v>106000.0</v>
      </c>
      <c r="D8" s="208"/>
      <c r="E8" s="203"/>
      <c r="F8" s="204"/>
      <c r="G8" s="204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08" t="s">
        <v>438</v>
      </c>
      <c r="B9" s="208" t="s">
        <v>443</v>
      </c>
      <c r="C9" s="209">
        <v>98000.0</v>
      </c>
      <c r="D9" s="208"/>
      <c r="E9" s="203"/>
      <c r="F9" s="204"/>
      <c r="G9" s="204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08" t="s">
        <v>438</v>
      </c>
      <c r="B10" s="208" t="s">
        <v>444</v>
      </c>
      <c r="C10" s="209">
        <v>48000.0</v>
      </c>
      <c r="D10" s="208"/>
      <c r="E10" s="203"/>
      <c r="F10" s="204"/>
      <c r="G10" s="204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ht="23.25" customHeight="1">
      <c r="A11" s="208" t="s">
        <v>438</v>
      </c>
      <c r="B11" s="208" t="s">
        <v>445</v>
      </c>
      <c r="C11" s="209">
        <v>11950.0</v>
      </c>
      <c r="D11" s="208"/>
      <c r="E11" s="203"/>
      <c r="F11" s="204"/>
      <c r="G11" s="204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ht="25.5" customHeight="1">
      <c r="A12" s="208" t="s">
        <v>438</v>
      </c>
      <c r="B12" s="208" t="s">
        <v>446</v>
      </c>
      <c r="C12" s="209">
        <v>80200.0</v>
      </c>
      <c r="D12" s="208"/>
      <c r="E12" s="203"/>
      <c r="F12" s="204"/>
      <c r="G12" s="204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08" t="s">
        <v>438</v>
      </c>
      <c r="B13" s="208" t="s">
        <v>447</v>
      </c>
      <c r="C13" s="209">
        <v>15000.0</v>
      </c>
      <c r="D13" s="208"/>
      <c r="E13" s="203" t="s">
        <v>448</v>
      </c>
      <c r="F13" s="204"/>
      <c r="G13" s="204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ht="28.5" customHeight="1">
      <c r="A14" s="208" t="s">
        <v>438</v>
      </c>
      <c r="B14" s="208" t="s">
        <v>449</v>
      </c>
      <c r="C14" s="209">
        <v>26400.0</v>
      </c>
      <c r="D14" s="208"/>
      <c r="E14" s="203" t="s">
        <v>450</v>
      </c>
      <c r="F14" s="204"/>
      <c r="G14" s="204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ht="28.5" customHeight="1">
      <c r="A15" s="208" t="s">
        <v>438</v>
      </c>
      <c r="B15" s="208" t="s">
        <v>451</v>
      </c>
      <c r="C15" s="209">
        <v>2400.0</v>
      </c>
      <c r="D15" s="208"/>
      <c r="E15" s="203"/>
      <c r="F15" s="204"/>
      <c r="G15" s="204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>
      <c r="A16" s="208" t="s">
        <v>452</v>
      </c>
      <c r="B16" s="208" t="s">
        <v>453</v>
      </c>
      <c r="C16" s="209">
        <v>1500000.0</v>
      </c>
      <c r="D16" s="208"/>
      <c r="E16" s="203"/>
      <c r="F16" s="204"/>
      <c r="G16" s="204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ht="27.75" customHeight="1">
      <c r="A17" s="208" t="s">
        <v>452</v>
      </c>
      <c r="B17" s="208" t="s">
        <v>454</v>
      </c>
      <c r="C17" s="209">
        <v>1253000.0</v>
      </c>
      <c r="D17" s="208"/>
      <c r="E17" s="203" t="s">
        <v>455</v>
      </c>
      <c r="F17" s="204"/>
      <c r="G17" s="204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ht="27.75" customHeight="1">
      <c r="A18" s="208" t="s">
        <v>452</v>
      </c>
      <c r="B18" s="208" t="s">
        <v>456</v>
      </c>
      <c r="C18" s="209">
        <v>795000.0</v>
      </c>
      <c r="D18" s="208"/>
      <c r="E18" s="203"/>
      <c r="F18" s="204"/>
      <c r="G18" s="204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ht="33.0" customHeight="1">
      <c r="A19" s="208" t="s">
        <v>452</v>
      </c>
      <c r="B19" s="208" t="s">
        <v>457</v>
      </c>
      <c r="C19" s="209">
        <v>612000.0</v>
      </c>
      <c r="D19" s="210"/>
      <c r="E19" s="199"/>
      <c r="F19" s="200"/>
      <c r="G19" s="200"/>
      <c r="H19" s="91"/>
      <c r="I19" s="91"/>
      <c r="J19" s="91"/>
      <c r="K19" s="91"/>
      <c r="L19" s="91"/>
      <c r="M19" s="91"/>
      <c r="N19" s="91"/>
      <c r="O19" s="91"/>
      <c r="P19" s="91"/>
      <c r="Q19" s="91"/>
      <c r="R19" s="91"/>
      <c r="S19" s="91"/>
      <c r="T19" s="91"/>
      <c r="U19" s="91"/>
      <c r="V19" s="91"/>
      <c r="W19" s="91"/>
      <c r="X19" s="91"/>
      <c r="Y19" s="91"/>
      <c r="Z19" s="91"/>
    </row>
    <row r="20" ht="30.0" customHeight="1">
      <c r="A20" s="208" t="s">
        <v>452</v>
      </c>
      <c r="B20" s="208" t="s">
        <v>458</v>
      </c>
      <c r="C20" s="209">
        <v>540000.0</v>
      </c>
      <c r="D20" s="208"/>
      <c r="E20" s="203"/>
      <c r="F20" s="204"/>
      <c r="G20" s="204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30.0" customHeight="1">
      <c r="A21" s="208" t="s">
        <v>459</v>
      </c>
      <c r="B21" s="208" t="s">
        <v>460</v>
      </c>
      <c r="C21" s="209">
        <v>115000.0</v>
      </c>
      <c r="D21" s="208"/>
      <c r="E21" s="203" t="s">
        <v>461</v>
      </c>
      <c r="F21" s="204"/>
      <c r="G21" s="204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32.25" customHeight="1">
      <c r="A22" s="208" t="s">
        <v>459</v>
      </c>
      <c r="B22" s="208" t="s">
        <v>462</v>
      </c>
      <c r="C22" s="209">
        <v>32980.0</v>
      </c>
      <c r="D22" s="208"/>
      <c r="E22" s="203"/>
      <c r="F22" s="204"/>
      <c r="G22" s="204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30.75" customHeight="1">
      <c r="A23" s="208" t="s">
        <v>459</v>
      </c>
      <c r="B23" s="208" t="s">
        <v>463</v>
      </c>
      <c r="C23" s="209">
        <v>52670.0</v>
      </c>
      <c r="D23" s="208"/>
      <c r="E23" s="203"/>
      <c r="F23" s="204"/>
      <c r="G23" s="204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30.75" customHeight="1">
      <c r="A24" s="208" t="s">
        <v>459</v>
      </c>
      <c r="B24" s="208" t="s">
        <v>464</v>
      </c>
      <c r="C24" s="209">
        <v>26000.0</v>
      </c>
      <c r="D24" s="208"/>
      <c r="E24" s="203" t="s">
        <v>465</v>
      </c>
      <c r="F24" s="204"/>
      <c r="G24" s="204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28.5" customHeight="1">
      <c r="A25" s="208" t="s">
        <v>459</v>
      </c>
      <c r="B25" s="208" t="s">
        <v>466</v>
      </c>
      <c r="C25" s="209">
        <v>60000.0</v>
      </c>
      <c r="D25" s="208"/>
      <c r="E25" s="203"/>
      <c r="F25" s="204"/>
      <c r="G25" s="204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28.5" customHeight="1">
      <c r="A26" s="208" t="s">
        <v>459</v>
      </c>
      <c r="B26" s="208" t="s">
        <v>467</v>
      </c>
      <c r="C26" s="209">
        <v>16000.0</v>
      </c>
      <c r="D26" s="208"/>
      <c r="E26" s="203"/>
      <c r="F26" s="204"/>
      <c r="G26" s="204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32.25" customHeight="1">
      <c r="A27" s="208" t="s">
        <v>459</v>
      </c>
      <c r="B27" s="208" t="s">
        <v>468</v>
      </c>
      <c r="C27" s="209">
        <v>3600.0</v>
      </c>
      <c r="D27" s="208"/>
      <c r="E27" s="203"/>
      <c r="F27" s="204"/>
      <c r="G27" s="204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24.0" customHeight="1">
      <c r="A28" s="208" t="s">
        <v>469</v>
      </c>
      <c r="B28" s="208" t="s">
        <v>470</v>
      </c>
      <c r="C28" s="209">
        <v>102000.0</v>
      </c>
      <c r="D28" s="208"/>
      <c r="E28" s="203"/>
      <c r="F28" s="204"/>
      <c r="G28" s="204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31.5" customHeight="1">
      <c r="A29" s="208" t="s">
        <v>471</v>
      </c>
      <c r="B29" s="208" t="s">
        <v>472</v>
      </c>
      <c r="C29" s="209">
        <v>69480.0</v>
      </c>
      <c r="D29" s="208"/>
      <c r="E29" s="203"/>
      <c r="F29" s="204"/>
      <c r="G29" s="204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28.5" customHeight="1">
      <c r="A30" s="208" t="s">
        <v>471</v>
      </c>
      <c r="B30" s="208" t="s">
        <v>473</v>
      </c>
      <c r="C30" s="209">
        <v>873000.0</v>
      </c>
      <c r="D30" s="208"/>
      <c r="E30" s="203"/>
      <c r="F30" s="204"/>
      <c r="G30" s="204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32.25" customHeight="1">
      <c r="A31" s="208" t="s">
        <v>471</v>
      </c>
      <c r="B31" s="208" t="s">
        <v>474</v>
      </c>
      <c r="C31" s="209">
        <v>10900.0</v>
      </c>
      <c r="D31" s="208"/>
      <c r="E31" s="203"/>
      <c r="F31" s="204"/>
      <c r="G31" s="204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23.25" customHeight="1">
      <c r="A32" s="208" t="s">
        <v>471</v>
      </c>
      <c r="B32" s="208" t="s">
        <v>475</v>
      </c>
      <c r="C32" s="209">
        <v>47500.0</v>
      </c>
      <c r="D32" s="208"/>
      <c r="E32" s="203"/>
      <c r="F32" s="204"/>
      <c r="G32" s="204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27.0" customHeight="1">
      <c r="A33" s="208" t="s">
        <v>476</v>
      </c>
      <c r="B33" s="208" t="s">
        <v>477</v>
      </c>
      <c r="C33" s="209">
        <v>1200.0</v>
      </c>
      <c r="D33" s="208"/>
      <c r="E33" s="203"/>
      <c r="F33" s="204"/>
      <c r="G33" s="204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5.75" customHeight="1">
      <c r="A34" s="208"/>
      <c r="B34" s="208"/>
      <c r="C34" s="208"/>
      <c r="D34" s="211"/>
      <c r="E34" s="203"/>
      <c r="F34" s="204"/>
      <c r="G34" s="204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15.75" customHeight="1">
      <c r="A35" s="212"/>
      <c r="B35" s="212" t="s">
        <v>478</v>
      </c>
      <c r="C35" s="213">
        <f>SUM(C5:C33)</f>
        <v>8353280</v>
      </c>
      <c r="D35" s="214"/>
      <c r="E35" s="215"/>
      <c r="F35" s="91"/>
      <c r="G35" s="91"/>
      <c r="H35" s="91"/>
      <c r="I35" s="91"/>
      <c r="J35" s="91"/>
      <c r="K35" s="91"/>
      <c r="L35" s="91"/>
      <c r="M35" s="91"/>
      <c r="N35" s="91"/>
      <c r="O35" s="91"/>
      <c r="P35" s="91"/>
      <c r="Q35" s="91"/>
      <c r="R35" s="91"/>
      <c r="S35" s="91"/>
      <c r="T35" s="91"/>
      <c r="U35" s="91"/>
      <c r="V35" s="91"/>
      <c r="W35" s="91"/>
      <c r="X35" s="91"/>
      <c r="Y35" s="91"/>
      <c r="Z35" s="91"/>
    </row>
    <row r="36" ht="15.75" customHeight="1">
      <c r="A36" s="201"/>
      <c r="B36" s="197"/>
      <c r="C36" s="201"/>
      <c r="D36" s="202"/>
      <c r="E36" s="203"/>
      <c r="F36" s="204"/>
      <c r="G36" s="204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5.75" customHeight="1">
      <c r="A37" s="201"/>
      <c r="B37" s="197"/>
      <c r="C37" s="201"/>
      <c r="D37" s="202"/>
      <c r="E37" s="203"/>
      <c r="F37" s="204"/>
      <c r="G37" s="204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5.75" customHeight="1">
      <c r="A38" s="201"/>
      <c r="B38" s="197"/>
      <c r="C38" s="201"/>
      <c r="D38" s="202"/>
      <c r="E38" s="203"/>
      <c r="F38" s="204"/>
      <c r="G38" s="204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5.75" customHeight="1">
      <c r="A39" s="201"/>
      <c r="B39" s="197"/>
      <c r="C39" s="201"/>
      <c r="D39" s="202"/>
      <c r="E39" s="203"/>
      <c r="F39" s="204"/>
      <c r="G39" s="204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15.75" customHeight="1">
      <c r="A40" s="201"/>
      <c r="B40" s="197"/>
      <c r="C40" s="201"/>
      <c r="D40" s="202"/>
      <c r="E40" s="203"/>
      <c r="F40" s="204"/>
      <c r="G40" s="204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5.75" customHeight="1">
      <c r="A41" s="201"/>
      <c r="B41" s="197"/>
      <c r="C41" s="201"/>
      <c r="D41" s="202"/>
      <c r="E41" s="203"/>
      <c r="F41" s="204"/>
      <c r="G41" s="204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15.75" customHeight="1">
      <c r="A42" s="201"/>
      <c r="B42" s="197"/>
      <c r="C42" s="201"/>
      <c r="D42" s="202"/>
      <c r="E42" s="203"/>
      <c r="F42" s="204"/>
      <c r="G42" s="204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15.75" customHeight="1">
      <c r="A43" s="201"/>
      <c r="B43" s="197"/>
      <c r="C43" s="201"/>
      <c r="D43" s="202"/>
      <c r="E43" s="203"/>
      <c r="F43" s="204"/>
      <c r="G43" s="204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5.75" customHeight="1">
      <c r="A44" s="201"/>
      <c r="B44" s="197"/>
      <c r="C44" s="201"/>
      <c r="D44" s="202"/>
      <c r="E44" s="203"/>
      <c r="F44" s="204"/>
      <c r="G44" s="204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5.75" customHeight="1">
      <c r="A45" s="201"/>
      <c r="B45" s="197"/>
      <c r="C45" s="201"/>
      <c r="D45" s="202"/>
      <c r="E45" s="203"/>
      <c r="F45" s="204"/>
      <c r="G45" s="204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5.75" customHeight="1">
      <c r="A46" s="201"/>
      <c r="B46" s="197"/>
      <c r="C46" s="201"/>
      <c r="D46" s="202"/>
      <c r="E46" s="203"/>
      <c r="F46" s="204"/>
      <c r="G46" s="204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15.75" customHeight="1">
      <c r="A47" s="201"/>
      <c r="B47" s="197"/>
      <c r="C47" s="201"/>
      <c r="D47" s="202"/>
      <c r="E47" s="203"/>
      <c r="F47" s="204"/>
      <c r="G47" s="204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15.75" customHeight="1">
      <c r="A48" s="201"/>
      <c r="B48" s="197"/>
      <c r="C48" s="201"/>
      <c r="D48" s="202"/>
      <c r="E48" s="203"/>
      <c r="F48" s="204"/>
      <c r="G48" s="204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15.75" customHeight="1">
      <c r="A49" s="201"/>
      <c r="B49" s="197"/>
      <c r="C49" s="201"/>
      <c r="D49" s="202"/>
      <c r="E49" s="203"/>
      <c r="F49" s="204"/>
      <c r="G49" s="204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5.75" customHeight="1">
      <c r="A50" s="201"/>
      <c r="B50" s="197"/>
      <c r="C50" s="201"/>
      <c r="D50" s="202"/>
      <c r="E50" s="203"/>
      <c r="F50" s="204"/>
      <c r="G50" s="204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5.75" customHeight="1">
      <c r="A51" s="201"/>
      <c r="B51" s="197"/>
      <c r="C51" s="201"/>
      <c r="D51" s="202"/>
      <c r="E51" s="203"/>
      <c r="F51" s="204"/>
      <c r="G51" s="204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5.75" customHeight="1">
      <c r="A52" s="201"/>
      <c r="B52" s="197"/>
      <c r="C52" s="201"/>
      <c r="D52" s="202"/>
      <c r="E52" s="203"/>
      <c r="F52" s="204"/>
      <c r="G52" s="204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5.75" customHeight="1">
      <c r="A53" s="201"/>
      <c r="B53" s="197"/>
      <c r="C53" s="201"/>
      <c r="D53" s="202"/>
      <c r="E53" s="203"/>
      <c r="F53" s="204"/>
      <c r="G53" s="204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201"/>
      <c r="B54" s="197"/>
      <c r="C54" s="201"/>
      <c r="D54" s="202"/>
      <c r="E54" s="203"/>
      <c r="F54" s="204"/>
      <c r="G54" s="204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201"/>
      <c r="B55" s="197"/>
      <c r="C55" s="201"/>
      <c r="D55" s="202"/>
      <c r="E55" s="203"/>
      <c r="F55" s="204"/>
      <c r="G55" s="204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201"/>
      <c r="B56" s="197"/>
      <c r="C56" s="201"/>
      <c r="D56" s="202"/>
      <c r="E56" s="203"/>
      <c r="F56" s="204"/>
      <c r="G56" s="204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201"/>
      <c r="B57" s="197"/>
      <c r="C57" s="201"/>
      <c r="D57" s="202"/>
      <c r="E57" s="203"/>
      <c r="F57" s="204"/>
      <c r="G57" s="204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201"/>
      <c r="B58" s="197"/>
      <c r="C58" s="201"/>
      <c r="D58" s="202"/>
      <c r="E58" s="203"/>
      <c r="F58" s="204"/>
      <c r="G58" s="204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201"/>
      <c r="B59" s="197"/>
      <c r="C59" s="201"/>
      <c r="D59" s="202"/>
      <c r="E59" s="203"/>
      <c r="F59" s="204"/>
      <c r="G59" s="204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201"/>
      <c r="B60" s="197"/>
      <c r="C60" s="201"/>
      <c r="D60" s="202"/>
      <c r="E60" s="203"/>
      <c r="F60" s="204"/>
      <c r="G60" s="204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201"/>
      <c r="B61" s="197"/>
      <c r="C61" s="201"/>
      <c r="D61" s="202"/>
      <c r="E61" s="203"/>
      <c r="F61" s="204"/>
      <c r="G61" s="204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201"/>
      <c r="B62" s="197"/>
      <c r="C62" s="201"/>
      <c r="D62" s="202"/>
      <c r="E62" s="203"/>
      <c r="F62" s="204"/>
      <c r="G62" s="204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201"/>
      <c r="B63" s="197"/>
      <c r="C63" s="201"/>
      <c r="D63" s="202"/>
      <c r="E63" s="203"/>
      <c r="F63" s="204"/>
      <c r="G63" s="204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201"/>
      <c r="B64" s="197"/>
      <c r="C64" s="201"/>
      <c r="D64" s="202"/>
      <c r="E64" s="203"/>
      <c r="F64" s="204"/>
      <c r="G64" s="204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201"/>
      <c r="B65" s="197"/>
      <c r="C65" s="201"/>
      <c r="D65" s="202"/>
      <c r="E65" s="203"/>
      <c r="F65" s="204"/>
      <c r="G65" s="204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201"/>
      <c r="B66" s="197"/>
      <c r="C66" s="201"/>
      <c r="D66" s="202"/>
      <c r="E66" s="203"/>
      <c r="F66" s="204"/>
      <c r="G66" s="204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201"/>
      <c r="B67" s="197"/>
      <c r="C67" s="201"/>
      <c r="D67" s="202"/>
      <c r="E67" s="203"/>
      <c r="F67" s="204"/>
      <c r="G67" s="204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201"/>
      <c r="B68" s="197"/>
      <c r="C68" s="201"/>
      <c r="D68" s="202"/>
      <c r="E68" s="203"/>
      <c r="F68" s="204"/>
      <c r="G68" s="204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201"/>
      <c r="B69" s="197"/>
      <c r="C69" s="201"/>
      <c r="D69" s="202"/>
      <c r="E69" s="203"/>
      <c r="F69" s="204"/>
      <c r="G69" s="204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201"/>
      <c r="B70" s="197"/>
      <c r="C70" s="201"/>
      <c r="D70" s="202"/>
      <c r="E70" s="203"/>
      <c r="F70" s="204"/>
      <c r="G70" s="204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201"/>
      <c r="B71" s="197"/>
      <c r="C71" s="201"/>
      <c r="D71" s="202"/>
      <c r="E71" s="203"/>
      <c r="F71" s="204"/>
      <c r="G71" s="204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201"/>
      <c r="B72" s="197"/>
      <c r="C72" s="201"/>
      <c r="D72" s="202"/>
      <c r="E72" s="203"/>
      <c r="F72" s="204"/>
      <c r="G72" s="204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201"/>
      <c r="B73" s="197"/>
      <c r="C73" s="201"/>
      <c r="D73" s="202"/>
      <c r="E73" s="203"/>
      <c r="F73" s="204"/>
      <c r="G73" s="204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201"/>
      <c r="B74" s="197"/>
      <c r="C74" s="201"/>
      <c r="D74" s="202"/>
      <c r="E74" s="203"/>
      <c r="F74" s="204"/>
      <c r="G74" s="204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201"/>
      <c r="B75" s="197"/>
      <c r="C75" s="201"/>
      <c r="D75" s="202"/>
      <c r="E75" s="203"/>
      <c r="F75" s="204"/>
      <c r="G75" s="204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201"/>
      <c r="B76" s="197"/>
      <c r="C76" s="201"/>
      <c r="D76" s="202"/>
      <c r="E76" s="203"/>
      <c r="F76" s="204"/>
      <c r="G76" s="204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201"/>
      <c r="B77" s="197"/>
      <c r="C77" s="201"/>
      <c r="D77" s="202"/>
      <c r="E77" s="203"/>
      <c r="F77" s="204"/>
      <c r="G77" s="204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201"/>
      <c r="B78" s="197"/>
      <c r="C78" s="201"/>
      <c r="D78" s="202"/>
      <c r="E78" s="203"/>
      <c r="F78" s="204"/>
      <c r="G78" s="204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201"/>
      <c r="B79" s="197"/>
      <c r="C79" s="201"/>
      <c r="D79" s="202"/>
      <c r="E79" s="203"/>
      <c r="F79" s="204"/>
      <c r="G79" s="204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201"/>
      <c r="B80" s="197"/>
      <c r="C80" s="201"/>
      <c r="D80" s="202"/>
      <c r="E80" s="203"/>
      <c r="F80" s="204"/>
      <c r="G80" s="204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201"/>
      <c r="B81" s="197"/>
      <c r="C81" s="201"/>
      <c r="D81" s="202"/>
      <c r="E81" s="203"/>
      <c r="F81" s="204"/>
      <c r="G81" s="204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201"/>
      <c r="B82" s="197"/>
      <c r="C82" s="201"/>
      <c r="D82" s="202"/>
      <c r="E82" s="203"/>
      <c r="F82" s="204"/>
      <c r="G82" s="204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201"/>
      <c r="B83" s="197"/>
      <c r="C83" s="201"/>
      <c r="D83" s="202"/>
      <c r="E83" s="203"/>
      <c r="F83" s="204"/>
      <c r="G83" s="204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201"/>
      <c r="B84" s="197"/>
      <c r="C84" s="201"/>
      <c r="D84" s="202"/>
      <c r="E84" s="203"/>
      <c r="F84" s="204"/>
      <c r="G84" s="204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201"/>
      <c r="B85" s="197"/>
      <c r="C85" s="201"/>
      <c r="D85" s="202"/>
      <c r="E85" s="203"/>
      <c r="F85" s="204"/>
      <c r="G85" s="204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201"/>
      <c r="B86" s="197"/>
      <c r="C86" s="201"/>
      <c r="D86" s="202"/>
      <c r="E86" s="203"/>
      <c r="F86" s="204"/>
      <c r="G86" s="204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201"/>
      <c r="B87" s="197"/>
      <c r="C87" s="201"/>
      <c r="D87" s="202"/>
      <c r="E87" s="203"/>
      <c r="F87" s="204"/>
      <c r="G87" s="204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201"/>
      <c r="B88" s="197"/>
      <c r="C88" s="201"/>
      <c r="D88" s="202"/>
      <c r="E88" s="203"/>
      <c r="F88" s="204"/>
      <c r="G88" s="204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201"/>
      <c r="B89" s="197"/>
      <c r="C89" s="201"/>
      <c r="D89" s="202"/>
      <c r="E89" s="203"/>
      <c r="F89" s="204"/>
      <c r="G89" s="204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201"/>
      <c r="B90" s="197"/>
      <c r="C90" s="201"/>
      <c r="D90" s="202"/>
      <c r="E90" s="203"/>
      <c r="F90" s="204"/>
      <c r="G90" s="204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201"/>
      <c r="B91" s="197"/>
      <c r="C91" s="201"/>
      <c r="D91" s="202"/>
      <c r="E91" s="203"/>
      <c r="F91" s="204"/>
      <c r="G91" s="204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201"/>
      <c r="B92" s="197"/>
      <c r="C92" s="201"/>
      <c r="D92" s="202"/>
      <c r="E92" s="203"/>
      <c r="F92" s="204"/>
      <c r="G92" s="204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201"/>
      <c r="B93" s="197"/>
      <c r="C93" s="201"/>
      <c r="D93" s="202"/>
      <c r="E93" s="203"/>
      <c r="F93" s="204"/>
      <c r="G93" s="204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201"/>
      <c r="B94" s="197"/>
      <c r="C94" s="201"/>
      <c r="D94" s="202"/>
      <c r="E94" s="203"/>
      <c r="F94" s="204"/>
      <c r="G94" s="204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201"/>
      <c r="B95" s="197"/>
      <c r="C95" s="201"/>
      <c r="D95" s="202"/>
      <c r="E95" s="203"/>
      <c r="F95" s="204"/>
      <c r="G95" s="204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201"/>
      <c r="B96" s="197"/>
      <c r="C96" s="201"/>
      <c r="D96" s="202"/>
      <c r="E96" s="203"/>
      <c r="F96" s="204"/>
      <c r="G96" s="204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201"/>
      <c r="B97" s="197"/>
      <c r="C97" s="201"/>
      <c r="D97" s="202"/>
      <c r="E97" s="203"/>
      <c r="F97" s="204"/>
      <c r="G97" s="204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201"/>
      <c r="B98" s="197"/>
      <c r="C98" s="201"/>
      <c r="D98" s="202"/>
      <c r="E98" s="203"/>
      <c r="F98" s="204"/>
      <c r="G98" s="204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201"/>
      <c r="B99" s="197"/>
      <c r="C99" s="201"/>
      <c r="D99" s="202"/>
      <c r="E99" s="203"/>
      <c r="F99" s="204"/>
      <c r="G99" s="204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201"/>
      <c r="B100" s="197"/>
      <c r="C100" s="201"/>
      <c r="D100" s="202"/>
      <c r="E100" s="203"/>
      <c r="F100" s="204"/>
      <c r="G100" s="204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201"/>
      <c r="B101" s="197"/>
      <c r="C101" s="201"/>
      <c r="D101" s="202"/>
      <c r="E101" s="203"/>
      <c r="F101" s="204"/>
      <c r="G101" s="204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201"/>
      <c r="B102" s="197"/>
      <c r="C102" s="201"/>
      <c r="D102" s="202"/>
      <c r="E102" s="203"/>
      <c r="F102" s="204"/>
      <c r="G102" s="204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201"/>
      <c r="B103" s="197"/>
      <c r="C103" s="201"/>
      <c r="D103" s="202"/>
      <c r="E103" s="203"/>
      <c r="F103" s="204"/>
      <c r="G103" s="204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201"/>
      <c r="B104" s="197"/>
      <c r="C104" s="201"/>
      <c r="D104" s="202"/>
      <c r="E104" s="203"/>
      <c r="F104" s="204"/>
      <c r="G104" s="204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201"/>
      <c r="B105" s="197"/>
      <c r="C105" s="201"/>
      <c r="D105" s="202"/>
      <c r="E105" s="203"/>
      <c r="F105" s="204"/>
      <c r="G105" s="204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201"/>
      <c r="B106" s="197"/>
      <c r="C106" s="201"/>
      <c r="D106" s="202"/>
      <c r="E106" s="203"/>
      <c r="F106" s="204"/>
      <c r="G106" s="204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201"/>
      <c r="B107" s="197"/>
      <c r="C107" s="201"/>
      <c r="D107" s="202"/>
      <c r="E107" s="203"/>
      <c r="F107" s="204"/>
      <c r="G107" s="204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201"/>
      <c r="B108" s="197"/>
      <c r="C108" s="201"/>
      <c r="D108" s="202"/>
      <c r="E108" s="203"/>
      <c r="F108" s="204"/>
      <c r="G108" s="204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201"/>
      <c r="B109" s="197"/>
      <c r="C109" s="201"/>
      <c r="D109" s="202"/>
      <c r="E109" s="203"/>
      <c r="F109" s="204"/>
      <c r="G109" s="204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201"/>
      <c r="B110" s="197"/>
      <c r="C110" s="201"/>
      <c r="D110" s="202"/>
      <c r="E110" s="203"/>
      <c r="F110" s="204"/>
      <c r="G110" s="204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201"/>
      <c r="B111" s="197"/>
      <c r="C111" s="201"/>
      <c r="D111" s="202"/>
      <c r="E111" s="203"/>
      <c r="F111" s="204"/>
      <c r="G111" s="204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201"/>
      <c r="B112" s="197"/>
      <c r="C112" s="201"/>
      <c r="D112" s="202"/>
      <c r="E112" s="203"/>
      <c r="F112" s="204"/>
      <c r="G112" s="204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201"/>
      <c r="B113" s="197"/>
      <c r="C113" s="201"/>
      <c r="D113" s="202"/>
      <c r="E113" s="203"/>
      <c r="F113" s="204"/>
      <c r="G113" s="204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201"/>
      <c r="B114" s="197"/>
      <c r="C114" s="201"/>
      <c r="D114" s="202"/>
      <c r="E114" s="203"/>
      <c r="F114" s="204"/>
      <c r="G114" s="204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201"/>
      <c r="B115" s="197"/>
      <c r="C115" s="201"/>
      <c r="D115" s="202"/>
      <c r="E115" s="203"/>
      <c r="F115" s="204"/>
      <c r="G115" s="204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201"/>
      <c r="B116" s="197"/>
      <c r="C116" s="201"/>
      <c r="D116" s="202"/>
      <c r="E116" s="203"/>
      <c r="F116" s="204"/>
      <c r="G116" s="204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201"/>
      <c r="B117" s="197"/>
      <c r="C117" s="201"/>
      <c r="D117" s="202"/>
      <c r="E117" s="203"/>
      <c r="F117" s="204"/>
      <c r="G117" s="204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201"/>
      <c r="B118" s="197"/>
      <c r="C118" s="201"/>
      <c r="D118" s="202"/>
      <c r="E118" s="203"/>
      <c r="F118" s="204"/>
      <c r="G118" s="204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201"/>
      <c r="B119" s="197"/>
      <c r="C119" s="201"/>
      <c r="D119" s="202"/>
      <c r="E119" s="203"/>
      <c r="F119" s="204"/>
      <c r="G119" s="204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201"/>
      <c r="B120" s="197"/>
      <c r="C120" s="201"/>
      <c r="D120" s="202"/>
      <c r="E120" s="203"/>
      <c r="F120" s="204"/>
      <c r="G120" s="204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201"/>
      <c r="B121" s="197"/>
      <c r="C121" s="201"/>
      <c r="D121" s="202"/>
      <c r="E121" s="203"/>
      <c r="F121" s="204"/>
      <c r="G121" s="204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201"/>
      <c r="B122" s="197"/>
      <c r="C122" s="201"/>
      <c r="D122" s="202"/>
      <c r="E122" s="203"/>
      <c r="F122" s="204"/>
      <c r="G122" s="204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201"/>
      <c r="B123" s="197"/>
      <c r="C123" s="201"/>
      <c r="D123" s="202"/>
      <c r="E123" s="203"/>
      <c r="F123" s="204"/>
      <c r="G123" s="204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201"/>
      <c r="B124" s="197"/>
      <c r="C124" s="201"/>
      <c r="D124" s="202"/>
      <c r="E124" s="203"/>
      <c r="F124" s="204"/>
      <c r="G124" s="204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201"/>
      <c r="B125" s="197"/>
      <c r="C125" s="201"/>
      <c r="D125" s="202"/>
      <c r="E125" s="203"/>
      <c r="F125" s="204"/>
      <c r="G125" s="204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201"/>
      <c r="B126" s="197"/>
      <c r="C126" s="201"/>
      <c r="D126" s="202"/>
      <c r="E126" s="203"/>
      <c r="F126" s="204"/>
      <c r="G126" s="204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201"/>
      <c r="B127" s="197"/>
      <c r="C127" s="201"/>
      <c r="D127" s="202"/>
      <c r="E127" s="203"/>
      <c r="F127" s="204"/>
      <c r="G127" s="204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201"/>
      <c r="B128" s="197"/>
      <c r="C128" s="201"/>
      <c r="D128" s="202"/>
      <c r="E128" s="203"/>
      <c r="F128" s="204"/>
      <c r="G128" s="204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201"/>
      <c r="B129" s="197"/>
      <c r="C129" s="201"/>
      <c r="D129" s="202"/>
      <c r="E129" s="203"/>
      <c r="F129" s="204"/>
      <c r="G129" s="204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201"/>
      <c r="B130" s="197"/>
      <c r="C130" s="201"/>
      <c r="D130" s="202"/>
      <c r="E130" s="203"/>
      <c r="F130" s="204"/>
      <c r="G130" s="204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201"/>
      <c r="B131" s="197"/>
      <c r="C131" s="201"/>
      <c r="D131" s="202"/>
      <c r="E131" s="203"/>
      <c r="F131" s="204"/>
      <c r="G131" s="204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201"/>
      <c r="B132" s="197"/>
      <c r="C132" s="201"/>
      <c r="D132" s="202"/>
      <c r="E132" s="203"/>
      <c r="F132" s="204"/>
      <c r="G132" s="204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201"/>
      <c r="B133" s="197"/>
      <c r="C133" s="201"/>
      <c r="D133" s="202"/>
      <c r="E133" s="203"/>
      <c r="F133" s="204"/>
      <c r="G133" s="204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201"/>
      <c r="B134" s="197"/>
      <c r="C134" s="201"/>
      <c r="D134" s="202"/>
      <c r="E134" s="203"/>
      <c r="F134" s="204"/>
      <c r="G134" s="204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201"/>
      <c r="B135" s="197"/>
      <c r="C135" s="201"/>
      <c r="D135" s="202"/>
      <c r="E135" s="203"/>
      <c r="F135" s="204"/>
      <c r="G135" s="204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201"/>
      <c r="B136" s="197"/>
      <c r="C136" s="201"/>
      <c r="D136" s="202"/>
      <c r="E136" s="203"/>
      <c r="F136" s="204"/>
      <c r="G136" s="204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201"/>
      <c r="B137" s="197"/>
      <c r="C137" s="201"/>
      <c r="D137" s="202"/>
      <c r="E137" s="203"/>
      <c r="F137" s="204"/>
      <c r="G137" s="204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201"/>
      <c r="B138" s="197"/>
      <c r="C138" s="201"/>
      <c r="D138" s="202"/>
      <c r="E138" s="203"/>
      <c r="F138" s="204"/>
      <c r="G138" s="204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201"/>
      <c r="B139" s="197"/>
      <c r="C139" s="201"/>
      <c r="D139" s="202"/>
      <c r="E139" s="203"/>
      <c r="F139" s="204"/>
      <c r="G139" s="204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201"/>
      <c r="B140" s="197"/>
      <c r="C140" s="201"/>
      <c r="D140" s="202"/>
      <c r="E140" s="203"/>
      <c r="F140" s="204"/>
      <c r="G140" s="204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201"/>
      <c r="B141" s="197"/>
      <c r="C141" s="201"/>
      <c r="D141" s="202"/>
      <c r="E141" s="203"/>
      <c r="F141" s="204"/>
      <c r="G141" s="204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201"/>
      <c r="B142" s="197"/>
      <c r="C142" s="201"/>
      <c r="D142" s="202"/>
      <c r="E142" s="203"/>
      <c r="F142" s="204"/>
      <c r="G142" s="204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201"/>
      <c r="B143" s="197"/>
      <c r="C143" s="201"/>
      <c r="D143" s="202"/>
      <c r="E143" s="203"/>
      <c r="F143" s="204"/>
      <c r="G143" s="204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201"/>
      <c r="B144" s="197"/>
      <c r="C144" s="201"/>
      <c r="D144" s="202"/>
      <c r="E144" s="203"/>
      <c r="F144" s="204"/>
      <c r="G144" s="204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201"/>
      <c r="B145" s="197"/>
      <c r="C145" s="201"/>
      <c r="D145" s="202"/>
      <c r="E145" s="203"/>
      <c r="F145" s="204"/>
      <c r="G145" s="204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201"/>
      <c r="B146" s="197"/>
      <c r="C146" s="201"/>
      <c r="D146" s="202"/>
      <c r="E146" s="203"/>
      <c r="F146" s="204"/>
      <c r="G146" s="204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201"/>
      <c r="B147" s="197"/>
      <c r="C147" s="201"/>
      <c r="D147" s="202"/>
      <c r="E147" s="203"/>
      <c r="F147" s="204"/>
      <c r="G147" s="204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201"/>
      <c r="B148" s="197"/>
      <c r="C148" s="201"/>
      <c r="D148" s="202"/>
      <c r="E148" s="203"/>
      <c r="F148" s="204"/>
      <c r="G148" s="204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201"/>
      <c r="B149" s="197"/>
      <c r="C149" s="201"/>
      <c r="D149" s="202"/>
      <c r="E149" s="203"/>
      <c r="F149" s="204"/>
      <c r="G149" s="204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201"/>
      <c r="B150" s="197"/>
      <c r="C150" s="201"/>
      <c r="D150" s="202"/>
      <c r="E150" s="203"/>
      <c r="F150" s="204"/>
      <c r="G150" s="204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201"/>
      <c r="B151" s="197"/>
      <c r="C151" s="201"/>
      <c r="D151" s="202"/>
      <c r="E151" s="203"/>
      <c r="F151" s="204"/>
      <c r="G151" s="204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201"/>
      <c r="B152" s="197"/>
      <c r="C152" s="201"/>
      <c r="D152" s="202"/>
      <c r="E152" s="203"/>
      <c r="F152" s="204"/>
      <c r="G152" s="204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201"/>
      <c r="B153" s="197"/>
      <c r="C153" s="201"/>
      <c r="D153" s="202"/>
      <c r="E153" s="203"/>
      <c r="F153" s="204"/>
      <c r="G153" s="204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201"/>
      <c r="B154" s="197"/>
      <c r="C154" s="201"/>
      <c r="D154" s="202"/>
      <c r="E154" s="203"/>
      <c r="F154" s="204"/>
      <c r="G154" s="204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201"/>
      <c r="B155" s="197"/>
      <c r="C155" s="201"/>
      <c r="D155" s="202"/>
      <c r="E155" s="203"/>
      <c r="F155" s="204"/>
      <c r="G155" s="204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201"/>
      <c r="B156" s="197"/>
      <c r="C156" s="201"/>
      <c r="D156" s="202"/>
      <c r="E156" s="203"/>
      <c r="F156" s="204"/>
      <c r="G156" s="204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201"/>
      <c r="B157" s="197"/>
      <c r="C157" s="201"/>
      <c r="D157" s="202"/>
      <c r="E157" s="203"/>
      <c r="F157" s="204"/>
      <c r="G157" s="204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201"/>
      <c r="B158" s="197"/>
      <c r="C158" s="201"/>
      <c r="D158" s="202"/>
      <c r="E158" s="203"/>
      <c r="F158" s="204"/>
      <c r="G158" s="204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201"/>
      <c r="B159" s="197"/>
      <c r="C159" s="201"/>
      <c r="D159" s="202"/>
      <c r="E159" s="203"/>
      <c r="F159" s="204"/>
      <c r="G159" s="204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201"/>
      <c r="B160" s="197"/>
      <c r="C160" s="201"/>
      <c r="D160" s="202"/>
      <c r="E160" s="203"/>
      <c r="F160" s="204"/>
      <c r="G160" s="204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201"/>
      <c r="B161" s="197"/>
      <c r="C161" s="201"/>
      <c r="D161" s="202"/>
      <c r="E161" s="203"/>
      <c r="F161" s="204"/>
      <c r="G161" s="204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201"/>
      <c r="B162" s="197"/>
      <c r="C162" s="201"/>
      <c r="D162" s="202"/>
      <c r="E162" s="203"/>
      <c r="F162" s="204"/>
      <c r="G162" s="204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201"/>
      <c r="B163" s="197"/>
      <c r="C163" s="201"/>
      <c r="D163" s="202"/>
      <c r="E163" s="203"/>
      <c r="F163" s="204"/>
      <c r="G163" s="204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201"/>
      <c r="B164" s="197"/>
      <c r="C164" s="201"/>
      <c r="D164" s="202"/>
      <c r="E164" s="203"/>
      <c r="F164" s="204"/>
      <c r="G164" s="204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201"/>
      <c r="B165" s="197"/>
      <c r="C165" s="201"/>
      <c r="D165" s="202"/>
      <c r="E165" s="203"/>
      <c r="F165" s="204"/>
      <c r="G165" s="204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201"/>
      <c r="B166" s="197"/>
      <c r="C166" s="201"/>
      <c r="D166" s="202"/>
      <c r="E166" s="203"/>
      <c r="F166" s="204"/>
      <c r="G166" s="204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201"/>
      <c r="B167" s="197"/>
      <c r="C167" s="201"/>
      <c r="D167" s="202"/>
      <c r="E167" s="203"/>
      <c r="F167" s="204"/>
      <c r="G167" s="204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201"/>
      <c r="B168" s="197"/>
      <c r="C168" s="201"/>
      <c r="D168" s="202"/>
      <c r="E168" s="203"/>
      <c r="F168" s="204"/>
      <c r="G168" s="204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201"/>
      <c r="B169" s="197"/>
      <c r="C169" s="201"/>
      <c r="D169" s="202"/>
      <c r="E169" s="203"/>
      <c r="F169" s="204"/>
      <c r="G169" s="204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201"/>
      <c r="B170" s="197"/>
      <c r="C170" s="201"/>
      <c r="D170" s="202"/>
      <c r="E170" s="203"/>
      <c r="F170" s="204"/>
      <c r="G170" s="204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201"/>
      <c r="B171" s="197"/>
      <c r="C171" s="201"/>
      <c r="D171" s="202"/>
      <c r="E171" s="203"/>
      <c r="F171" s="204"/>
      <c r="G171" s="204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201"/>
      <c r="B172" s="197"/>
      <c r="C172" s="201"/>
      <c r="D172" s="202"/>
      <c r="E172" s="203"/>
      <c r="F172" s="204"/>
      <c r="G172" s="204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201"/>
      <c r="B173" s="197"/>
      <c r="C173" s="201"/>
      <c r="D173" s="202"/>
      <c r="E173" s="203"/>
      <c r="F173" s="204"/>
      <c r="G173" s="204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201"/>
      <c r="B174" s="197"/>
      <c r="C174" s="201"/>
      <c r="D174" s="202"/>
      <c r="E174" s="203"/>
      <c r="F174" s="204"/>
      <c r="G174" s="204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201"/>
      <c r="B175" s="197"/>
      <c r="C175" s="201"/>
      <c r="D175" s="202"/>
      <c r="E175" s="203"/>
      <c r="F175" s="204"/>
      <c r="G175" s="204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201"/>
      <c r="B176" s="197"/>
      <c r="C176" s="201"/>
      <c r="D176" s="202"/>
      <c r="E176" s="203"/>
      <c r="F176" s="204"/>
      <c r="G176" s="204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201"/>
      <c r="B177" s="197"/>
      <c r="C177" s="201"/>
      <c r="D177" s="202"/>
      <c r="E177" s="203"/>
      <c r="F177" s="204"/>
      <c r="G177" s="204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201"/>
      <c r="B178" s="197"/>
      <c r="C178" s="201"/>
      <c r="D178" s="202"/>
      <c r="E178" s="203"/>
      <c r="F178" s="204"/>
      <c r="G178" s="204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201"/>
      <c r="B179" s="197"/>
      <c r="C179" s="201"/>
      <c r="D179" s="202"/>
      <c r="E179" s="203"/>
      <c r="F179" s="204"/>
      <c r="G179" s="204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201"/>
      <c r="B180" s="197"/>
      <c r="C180" s="201"/>
      <c r="D180" s="202"/>
      <c r="E180" s="203"/>
      <c r="F180" s="204"/>
      <c r="G180" s="204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201"/>
      <c r="B181" s="197"/>
      <c r="C181" s="201"/>
      <c r="D181" s="202"/>
      <c r="E181" s="203"/>
      <c r="F181" s="204"/>
      <c r="G181" s="204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201"/>
      <c r="B182" s="197"/>
      <c r="C182" s="201"/>
      <c r="D182" s="202"/>
      <c r="E182" s="203"/>
      <c r="F182" s="204"/>
      <c r="G182" s="204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201"/>
      <c r="B183" s="197"/>
      <c r="C183" s="201"/>
      <c r="D183" s="202"/>
      <c r="E183" s="203"/>
      <c r="F183" s="204"/>
      <c r="G183" s="204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201"/>
      <c r="B184" s="197"/>
      <c r="C184" s="201"/>
      <c r="D184" s="202"/>
      <c r="E184" s="203"/>
      <c r="F184" s="204"/>
      <c r="G184" s="204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201"/>
      <c r="B185" s="197"/>
      <c r="C185" s="201"/>
      <c r="D185" s="202"/>
      <c r="E185" s="203"/>
      <c r="F185" s="204"/>
      <c r="G185" s="204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201"/>
      <c r="B186" s="197"/>
      <c r="C186" s="201"/>
      <c r="D186" s="202"/>
      <c r="E186" s="203"/>
      <c r="F186" s="204"/>
      <c r="G186" s="204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201"/>
      <c r="B187" s="197"/>
      <c r="C187" s="201"/>
      <c r="D187" s="202"/>
      <c r="E187" s="203"/>
      <c r="F187" s="204"/>
      <c r="G187" s="204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201"/>
      <c r="B188" s="197"/>
      <c r="C188" s="201"/>
      <c r="D188" s="202"/>
      <c r="E188" s="203"/>
      <c r="F188" s="204"/>
      <c r="G188" s="204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201"/>
      <c r="B189" s="197"/>
      <c r="C189" s="201"/>
      <c r="D189" s="202"/>
      <c r="E189" s="203"/>
      <c r="F189" s="204"/>
      <c r="G189" s="204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201"/>
      <c r="B190" s="197"/>
      <c r="C190" s="201"/>
      <c r="D190" s="202"/>
      <c r="E190" s="203"/>
      <c r="F190" s="204"/>
      <c r="G190" s="204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201"/>
      <c r="B191" s="197"/>
      <c r="C191" s="201"/>
      <c r="D191" s="202"/>
      <c r="E191" s="203"/>
      <c r="F191" s="204"/>
      <c r="G191" s="204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201"/>
      <c r="B192" s="197"/>
      <c r="C192" s="201"/>
      <c r="D192" s="202"/>
      <c r="E192" s="203"/>
      <c r="F192" s="204"/>
      <c r="G192" s="204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201"/>
      <c r="B193" s="197"/>
      <c r="C193" s="201"/>
      <c r="D193" s="202"/>
      <c r="E193" s="203"/>
      <c r="F193" s="204"/>
      <c r="G193" s="204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201"/>
      <c r="B194" s="197"/>
      <c r="C194" s="201"/>
      <c r="D194" s="202"/>
      <c r="E194" s="203"/>
      <c r="F194" s="204"/>
      <c r="G194" s="204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201"/>
      <c r="B195" s="197"/>
      <c r="C195" s="201"/>
      <c r="D195" s="202"/>
      <c r="E195" s="203"/>
      <c r="F195" s="204"/>
      <c r="G195" s="204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201"/>
      <c r="B196" s="197"/>
      <c r="C196" s="201"/>
      <c r="D196" s="202"/>
      <c r="E196" s="203"/>
      <c r="F196" s="204"/>
      <c r="G196" s="204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201"/>
      <c r="B197" s="197"/>
      <c r="C197" s="201"/>
      <c r="D197" s="202"/>
      <c r="E197" s="203"/>
      <c r="F197" s="204"/>
      <c r="G197" s="204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201"/>
      <c r="B198" s="197"/>
      <c r="C198" s="201"/>
      <c r="D198" s="202"/>
      <c r="E198" s="203"/>
      <c r="F198" s="204"/>
      <c r="G198" s="204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201"/>
      <c r="B199" s="197"/>
      <c r="C199" s="201"/>
      <c r="D199" s="202"/>
      <c r="E199" s="203"/>
      <c r="F199" s="204"/>
      <c r="G199" s="204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201"/>
      <c r="B200" s="197"/>
      <c r="C200" s="201"/>
      <c r="D200" s="202"/>
      <c r="E200" s="203"/>
      <c r="F200" s="204"/>
      <c r="G200" s="204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201"/>
      <c r="B201" s="197"/>
      <c r="C201" s="201"/>
      <c r="D201" s="202"/>
      <c r="E201" s="203"/>
      <c r="F201" s="204"/>
      <c r="G201" s="204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201"/>
      <c r="B202" s="197"/>
      <c r="C202" s="201"/>
      <c r="D202" s="202"/>
      <c r="E202" s="203"/>
      <c r="F202" s="204"/>
      <c r="G202" s="204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201"/>
      <c r="B203" s="197"/>
      <c r="C203" s="201"/>
      <c r="D203" s="202"/>
      <c r="E203" s="203"/>
      <c r="F203" s="204"/>
      <c r="G203" s="204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201"/>
      <c r="B204" s="197"/>
      <c r="C204" s="201"/>
      <c r="D204" s="202"/>
      <c r="E204" s="203"/>
      <c r="F204" s="204"/>
      <c r="G204" s="204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201"/>
      <c r="B205" s="197"/>
      <c r="C205" s="201"/>
      <c r="D205" s="202"/>
      <c r="E205" s="203"/>
      <c r="F205" s="204"/>
      <c r="G205" s="204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201"/>
      <c r="B206" s="197"/>
      <c r="C206" s="201"/>
      <c r="D206" s="202"/>
      <c r="E206" s="203"/>
      <c r="F206" s="204"/>
      <c r="G206" s="204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201"/>
      <c r="B207" s="197"/>
      <c r="C207" s="201"/>
      <c r="D207" s="202"/>
      <c r="E207" s="203"/>
      <c r="F207" s="204"/>
      <c r="G207" s="204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201"/>
      <c r="B208" s="197"/>
      <c r="C208" s="201"/>
      <c r="D208" s="202"/>
      <c r="E208" s="203"/>
      <c r="F208" s="204"/>
      <c r="G208" s="204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201"/>
      <c r="B209" s="197"/>
      <c r="C209" s="201"/>
      <c r="D209" s="202"/>
      <c r="E209" s="203"/>
      <c r="F209" s="204"/>
      <c r="G209" s="204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201"/>
      <c r="B210" s="197"/>
      <c r="C210" s="201"/>
      <c r="D210" s="202"/>
      <c r="E210" s="203"/>
      <c r="F210" s="204"/>
      <c r="G210" s="204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201"/>
      <c r="B211" s="197"/>
      <c r="C211" s="201"/>
      <c r="D211" s="202"/>
      <c r="E211" s="203"/>
      <c r="F211" s="204"/>
      <c r="G211" s="204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201"/>
      <c r="B212" s="197"/>
      <c r="C212" s="201"/>
      <c r="D212" s="202"/>
      <c r="E212" s="203"/>
      <c r="F212" s="204"/>
      <c r="G212" s="204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201"/>
      <c r="B213" s="197"/>
      <c r="C213" s="201"/>
      <c r="D213" s="202"/>
      <c r="E213" s="203"/>
      <c r="F213" s="204"/>
      <c r="G213" s="204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201"/>
      <c r="B214" s="197"/>
      <c r="C214" s="201"/>
      <c r="D214" s="202"/>
      <c r="E214" s="203"/>
      <c r="F214" s="204"/>
      <c r="G214" s="204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201"/>
      <c r="B215" s="197"/>
      <c r="C215" s="201"/>
      <c r="D215" s="202"/>
      <c r="E215" s="203"/>
      <c r="F215" s="204"/>
      <c r="G215" s="204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201"/>
      <c r="B216" s="197"/>
      <c r="C216" s="201"/>
      <c r="D216" s="202"/>
      <c r="E216" s="203"/>
      <c r="F216" s="204"/>
      <c r="G216" s="204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201"/>
      <c r="B217" s="197"/>
      <c r="C217" s="201"/>
      <c r="D217" s="202"/>
      <c r="E217" s="203"/>
      <c r="F217" s="204"/>
      <c r="G217" s="204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201"/>
      <c r="B218" s="197"/>
      <c r="C218" s="201"/>
      <c r="D218" s="202"/>
      <c r="E218" s="203"/>
      <c r="F218" s="204"/>
      <c r="G218" s="204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201"/>
      <c r="B219" s="197"/>
      <c r="C219" s="201"/>
      <c r="D219" s="202"/>
      <c r="E219" s="203"/>
      <c r="F219" s="204"/>
      <c r="G219" s="204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201"/>
      <c r="B220" s="197"/>
      <c r="C220" s="201"/>
      <c r="D220" s="202"/>
      <c r="E220" s="203"/>
      <c r="F220" s="204"/>
      <c r="G220" s="204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201"/>
      <c r="B221" s="197"/>
      <c r="C221" s="201"/>
      <c r="D221" s="202"/>
      <c r="E221" s="203"/>
      <c r="F221" s="204"/>
      <c r="G221" s="204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201"/>
      <c r="B222" s="197"/>
      <c r="C222" s="201"/>
      <c r="D222" s="202"/>
      <c r="E222" s="203"/>
      <c r="F222" s="204"/>
      <c r="G222" s="204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201"/>
      <c r="B223" s="197"/>
      <c r="C223" s="201"/>
      <c r="D223" s="202"/>
      <c r="E223" s="203"/>
      <c r="F223" s="204"/>
      <c r="G223" s="204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201"/>
      <c r="B224" s="197"/>
      <c r="C224" s="201"/>
      <c r="D224" s="202"/>
      <c r="E224" s="203"/>
      <c r="F224" s="204"/>
      <c r="G224" s="204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201"/>
      <c r="B225" s="197"/>
      <c r="C225" s="201"/>
      <c r="D225" s="202"/>
      <c r="E225" s="203"/>
      <c r="F225" s="204"/>
      <c r="G225" s="204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201"/>
      <c r="B226" s="197"/>
      <c r="C226" s="201"/>
      <c r="D226" s="202"/>
      <c r="E226" s="203"/>
      <c r="F226" s="204"/>
      <c r="G226" s="204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201"/>
      <c r="B227" s="197"/>
      <c r="C227" s="201"/>
      <c r="D227" s="202"/>
      <c r="E227" s="203"/>
      <c r="F227" s="204"/>
      <c r="G227" s="204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201"/>
      <c r="B228" s="197"/>
      <c r="C228" s="201"/>
      <c r="D228" s="202"/>
      <c r="E228" s="203"/>
      <c r="F228" s="204"/>
      <c r="G228" s="204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201"/>
      <c r="B229" s="197"/>
      <c r="C229" s="201"/>
      <c r="D229" s="202"/>
      <c r="E229" s="203"/>
      <c r="F229" s="204"/>
      <c r="G229" s="204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201"/>
      <c r="B230" s="197"/>
      <c r="C230" s="201"/>
      <c r="D230" s="202"/>
      <c r="E230" s="203"/>
      <c r="F230" s="204"/>
      <c r="G230" s="204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201"/>
      <c r="B231" s="197"/>
      <c r="C231" s="201"/>
      <c r="D231" s="202"/>
      <c r="E231" s="203"/>
      <c r="F231" s="204"/>
      <c r="G231" s="204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201"/>
      <c r="B232" s="197"/>
      <c r="C232" s="201"/>
      <c r="D232" s="202"/>
      <c r="E232" s="203"/>
      <c r="F232" s="204"/>
      <c r="G232" s="204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201"/>
      <c r="B233" s="197"/>
      <c r="C233" s="201"/>
      <c r="D233" s="202"/>
      <c r="E233" s="203"/>
      <c r="F233" s="204"/>
      <c r="G233" s="204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201"/>
      <c r="B234" s="197"/>
      <c r="C234" s="201"/>
      <c r="D234" s="202"/>
      <c r="E234" s="203"/>
      <c r="F234" s="204"/>
      <c r="G234" s="204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201"/>
      <c r="B235" s="197"/>
      <c r="C235" s="201"/>
      <c r="D235" s="202"/>
      <c r="E235" s="203"/>
      <c r="F235" s="204"/>
      <c r="G235" s="204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201"/>
      <c r="B236" s="197"/>
      <c r="C236" s="201"/>
      <c r="D236" s="202"/>
      <c r="E236" s="203"/>
      <c r="F236" s="204"/>
      <c r="G236" s="204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201"/>
      <c r="B237" s="197"/>
      <c r="C237" s="201"/>
      <c r="D237" s="202"/>
      <c r="E237" s="203"/>
      <c r="F237" s="204"/>
      <c r="G237" s="204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201"/>
      <c r="B238" s="197"/>
      <c r="C238" s="201"/>
      <c r="D238" s="202"/>
      <c r="E238" s="203"/>
      <c r="F238" s="204"/>
      <c r="G238" s="204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201"/>
      <c r="B239" s="197"/>
      <c r="C239" s="201"/>
      <c r="D239" s="202"/>
      <c r="E239" s="203"/>
      <c r="F239" s="204"/>
      <c r="G239" s="204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201"/>
      <c r="B240" s="197"/>
      <c r="C240" s="201"/>
      <c r="D240" s="202"/>
      <c r="E240" s="203"/>
      <c r="F240" s="204"/>
      <c r="G240" s="204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201"/>
      <c r="B241" s="197"/>
      <c r="C241" s="201"/>
      <c r="D241" s="202"/>
      <c r="E241" s="203"/>
      <c r="F241" s="204"/>
      <c r="G241" s="204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201"/>
      <c r="B242" s="197"/>
      <c r="C242" s="201"/>
      <c r="D242" s="202"/>
      <c r="E242" s="203"/>
      <c r="F242" s="204"/>
      <c r="G242" s="204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201"/>
      <c r="B243" s="197"/>
      <c r="C243" s="201"/>
      <c r="D243" s="202"/>
      <c r="E243" s="203"/>
      <c r="F243" s="204"/>
      <c r="G243" s="204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201"/>
      <c r="B244" s="197"/>
      <c r="C244" s="201"/>
      <c r="D244" s="202"/>
      <c r="E244" s="203"/>
      <c r="F244" s="204"/>
      <c r="G244" s="204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201"/>
      <c r="B245" s="197"/>
      <c r="C245" s="201"/>
      <c r="D245" s="202"/>
      <c r="E245" s="203"/>
      <c r="F245" s="204"/>
      <c r="G245" s="204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201"/>
      <c r="B246" s="197"/>
      <c r="C246" s="201"/>
      <c r="D246" s="202"/>
      <c r="E246" s="203"/>
      <c r="F246" s="204"/>
      <c r="G246" s="204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201"/>
      <c r="B247" s="197"/>
      <c r="C247" s="201"/>
      <c r="D247" s="202"/>
      <c r="E247" s="203"/>
      <c r="F247" s="204"/>
      <c r="G247" s="204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201"/>
      <c r="B248" s="197"/>
      <c r="C248" s="201"/>
      <c r="D248" s="202"/>
      <c r="E248" s="203"/>
      <c r="F248" s="204"/>
      <c r="G248" s="204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201"/>
      <c r="B249" s="197"/>
      <c r="C249" s="201"/>
      <c r="D249" s="202"/>
      <c r="E249" s="203"/>
      <c r="F249" s="204"/>
      <c r="G249" s="204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201"/>
      <c r="B250" s="197"/>
      <c r="C250" s="201"/>
      <c r="D250" s="202"/>
      <c r="E250" s="203"/>
      <c r="F250" s="204"/>
      <c r="G250" s="204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201"/>
      <c r="B251" s="197"/>
      <c r="C251" s="201"/>
      <c r="D251" s="202"/>
      <c r="E251" s="203"/>
      <c r="F251" s="204"/>
      <c r="G251" s="204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201"/>
      <c r="B252" s="197"/>
      <c r="C252" s="201"/>
      <c r="D252" s="202"/>
      <c r="E252" s="203"/>
      <c r="F252" s="204"/>
      <c r="G252" s="204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201"/>
      <c r="B253" s="197"/>
      <c r="C253" s="201"/>
      <c r="D253" s="202"/>
      <c r="E253" s="203"/>
      <c r="F253" s="204"/>
      <c r="G253" s="204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201"/>
      <c r="B254" s="197"/>
      <c r="C254" s="201"/>
      <c r="D254" s="202"/>
      <c r="E254" s="203"/>
      <c r="F254" s="204"/>
      <c r="G254" s="204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201"/>
      <c r="B255" s="197"/>
      <c r="C255" s="201"/>
      <c r="D255" s="202"/>
      <c r="E255" s="203"/>
      <c r="F255" s="204"/>
      <c r="G255" s="204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201"/>
      <c r="B256" s="197"/>
      <c r="C256" s="201"/>
      <c r="D256" s="202"/>
      <c r="E256" s="203"/>
      <c r="F256" s="204"/>
      <c r="G256" s="204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201"/>
      <c r="B257" s="197"/>
      <c r="C257" s="201"/>
      <c r="D257" s="202"/>
      <c r="E257" s="203"/>
      <c r="F257" s="204"/>
      <c r="G257" s="204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201"/>
      <c r="B258" s="197"/>
      <c r="C258" s="201"/>
      <c r="D258" s="202"/>
      <c r="E258" s="203"/>
      <c r="F258" s="204"/>
      <c r="G258" s="204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201"/>
      <c r="B259" s="197"/>
      <c r="C259" s="201"/>
      <c r="D259" s="202"/>
      <c r="E259" s="203"/>
      <c r="F259" s="204"/>
      <c r="G259" s="204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201"/>
      <c r="B260" s="197"/>
      <c r="C260" s="201"/>
      <c r="D260" s="202"/>
      <c r="E260" s="203"/>
      <c r="F260" s="204"/>
      <c r="G260" s="204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201"/>
      <c r="B261" s="197"/>
      <c r="C261" s="201"/>
      <c r="D261" s="202"/>
      <c r="E261" s="203"/>
      <c r="F261" s="204"/>
      <c r="G261" s="204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201"/>
      <c r="B262" s="197"/>
      <c r="C262" s="201"/>
      <c r="D262" s="202"/>
      <c r="E262" s="203"/>
      <c r="F262" s="204"/>
      <c r="G262" s="204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201"/>
      <c r="B263" s="197"/>
      <c r="C263" s="201"/>
      <c r="D263" s="202"/>
      <c r="E263" s="203"/>
      <c r="F263" s="204"/>
      <c r="G263" s="204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201"/>
      <c r="B264" s="197"/>
      <c r="C264" s="201"/>
      <c r="D264" s="202"/>
      <c r="E264" s="203"/>
      <c r="F264" s="204"/>
      <c r="G264" s="204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201"/>
      <c r="B265" s="197"/>
      <c r="C265" s="201"/>
      <c r="D265" s="202"/>
      <c r="E265" s="203"/>
      <c r="F265" s="204"/>
      <c r="G265" s="204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201"/>
      <c r="B266" s="197"/>
      <c r="C266" s="201"/>
      <c r="D266" s="202"/>
      <c r="E266" s="203"/>
      <c r="F266" s="204"/>
      <c r="G266" s="204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201"/>
      <c r="B267" s="197"/>
      <c r="C267" s="201"/>
      <c r="D267" s="202"/>
      <c r="E267" s="203"/>
      <c r="F267" s="204"/>
      <c r="G267" s="204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201"/>
      <c r="B268" s="197"/>
      <c r="C268" s="201"/>
      <c r="D268" s="202"/>
      <c r="E268" s="203"/>
      <c r="F268" s="204"/>
      <c r="G268" s="204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201"/>
      <c r="B269" s="197"/>
      <c r="C269" s="201"/>
      <c r="D269" s="202"/>
      <c r="E269" s="203"/>
      <c r="F269" s="204"/>
      <c r="G269" s="204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201"/>
      <c r="B270" s="197"/>
      <c r="C270" s="201"/>
      <c r="D270" s="202"/>
      <c r="E270" s="203"/>
      <c r="F270" s="204"/>
      <c r="G270" s="204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201"/>
      <c r="B271" s="197"/>
      <c r="C271" s="201"/>
      <c r="D271" s="202"/>
      <c r="E271" s="203"/>
      <c r="F271" s="204"/>
      <c r="G271" s="204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201"/>
      <c r="B272" s="197"/>
      <c r="C272" s="201"/>
      <c r="D272" s="202"/>
      <c r="E272" s="203"/>
      <c r="F272" s="204"/>
      <c r="G272" s="204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201"/>
      <c r="B273" s="197"/>
      <c r="C273" s="201"/>
      <c r="D273" s="202"/>
      <c r="E273" s="203"/>
      <c r="F273" s="204"/>
      <c r="G273" s="204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201"/>
      <c r="B274" s="197"/>
      <c r="C274" s="201"/>
      <c r="D274" s="202"/>
      <c r="E274" s="203"/>
      <c r="F274" s="204"/>
      <c r="G274" s="204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201"/>
      <c r="B275" s="197"/>
      <c r="C275" s="201"/>
      <c r="D275" s="202"/>
      <c r="E275" s="203"/>
      <c r="F275" s="204"/>
      <c r="G275" s="204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201"/>
      <c r="B276" s="197"/>
      <c r="C276" s="201"/>
      <c r="D276" s="202"/>
      <c r="E276" s="203"/>
      <c r="F276" s="204"/>
      <c r="G276" s="204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201"/>
      <c r="B277" s="197"/>
      <c r="C277" s="201"/>
      <c r="D277" s="202"/>
      <c r="E277" s="203"/>
      <c r="F277" s="204"/>
      <c r="G277" s="204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201"/>
      <c r="B278" s="197"/>
      <c r="C278" s="201"/>
      <c r="D278" s="202"/>
      <c r="E278" s="203"/>
      <c r="F278" s="204"/>
      <c r="G278" s="204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201"/>
      <c r="B279" s="197"/>
      <c r="C279" s="201"/>
      <c r="D279" s="202"/>
      <c r="E279" s="203"/>
      <c r="F279" s="204"/>
      <c r="G279" s="204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201"/>
      <c r="B280" s="197"/>
      <c r="C280" s="201"/>
      <c r="D280" s="202"/>
      <c r="E280" s="203"/>
      <c r="F280" s="204"/>
      <c r="G280" s="204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201"/>
      <c r="B281" s="197"/>
      <c r="C281" s="201"/>
      <c r="D281" s="202"/>
      <c r="E281" s="203"/>
      <c r="F281" s="204"/>
      <c r="G281" s="204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201"/>
      <c r="B282" s="197"/>
      <c r="C282" s="201"/>
      <c r="D282" s="202"/>
      <c r="E282" s="203"/>
      <c r="F282" s="204"/>
      <c r="G282" s="204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201"/>
      <c r="B283" s="197"/>
      <c r="C283" s="201"/>
      <c r="D283" s="202"/>
      <c r="E283" s="203"/>
      <c r="F283" s="204"/>
      <c r="G283" s="204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201"/>
      <c r="B284" s="197"/>
      <c r="C284" s="201"/>
      <c r="D284" s="202"/>
      <c r="E284" s="203"/>
      <c r="F284" s="204"/>
      <c r="G284" s="204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201"/>
      <c r="B285" s="197"/>
      <c r="C285" s="201"/>
      <c r="D285" s="202"/>
      <c r="E285" s="203"/>
      <c r="F285" s="204"/>
      <c r="G285" s="204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201"/>
      <c r="B286" s="197"/>
      <c r="C286" s="201"/>
      <c r="D286" s="202"/>
      <c r="E286" s="203"/>
      <c r="F286" s="204"/>
      <c r="G286" s="204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201"/>
      <c r="B287" s="197"/>
      <c r="C287" s="201"/>
      <c r="D287" s="202"/>
      <c r="E287" s="203"/>
      <c r="F287" s="204"/>
      <c r="G287" s="204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201"/>
      <c r="B288" s="197"/>
      <c r="C288" s="201"/>
      <c r="D288" s="202"/>
      <c r="E288" s="203"/>
      <c r="F288" s="204"/>
      <c r="G288" s="204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201"/>
      <c r="B289" s="197"/>
      <c r="C289" s="201"/>
      <c r="D289" s="202"/>
      <c r="E289" s="203"/>
      <c r="F289" s="204"/>
      <c r="G289" s="204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201"/>
      <c r="B290" s="197"/>
      <c r="C290" s="201"/>
      <c r="D290" s="202"/>
      <c r="E290" s="203"/>
      <c r="F290" s="204"/>
      <c r="G290" s="204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201"/>
      <c r="B291" s="197"/>
      <c r="C291" s="201"/>
      <c r="D291" s="202"/>
      <c r="E291" s="203"/>
      <c r="F291" s="204"/>
      <c r="G291" s="204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201"/>
      <c r="B292" s="197"/>
      <c r="C292" s="201"/>
      <c r="D292" s="202"/>
      <c r="E292" s="203"/>
      <c r="F292" s="204"/>
      <c r="G292" s="204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201"/>
      <c r="B293" s="197"/>
      <c r="C293" s="201"/>
      <c r="D293" s="202"/>
      <c r="E293" s="203"/>
      <c r="F293" s="204"/>
      <c r="G293" s="204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201"/>
      <c r="B294" s="197"/>
      <c r="C294" s="201"/>
      <c r="D294" s="202"/>
      <c r="E294" s="203"/>
      <c r="F294" s="204"/>
      <c r="G294" s="204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201"/>
      <c r="B295" s="197"/>
      <c r="C295" s="201"/>
      <c r="D295" s="202"/>
      <c r="E295" s="203"/>
      <c r="F295" s="204"/>
      <c r="G295" s="204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201"/>
      <c r="B296" s="197"/>
      <c r="C296" s="201"/>
      <c r="D296" s="202"/>
      <c r="E296" s="203"/>
      <c r="F296" s="204"/>
      <c r="G296" s="204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201"/>
      <c r="B297" s="197"/>
      <c r="C297" s="201"/>
      <c r="D297" s="202"/>
      <c r="E297" s="203"/>
      <c r="F297" s="204"/>
      <c r="G297" s="204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201"/>
      <c r="B298" s="197"/>
      <c r="C298" s="201"/>
      <c r="D298" s="202"/>
      <c r="E298" s="203"/>
      <c r="F298" s="204"/>
      <c r="G298" s="204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201"/>
      <c r="B299" s="197"/>
      <c r="C299" s="201"/>
      <c r="D299" s="202"/>
      <c r="E299" s="203"/>
      <c r="F299" s="204"/>
      <c r="G299" s="204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201"/>
      <c r="B300" s="197"/>
      <c r="C300" s="201"/>
      <c r="D300" s="202"/>
      <c r="E300" s="203"/>
      <c r="F300" s="204"/>
      <c r="G300" s="204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201"/>
      <c r="B301" s="197"/>
      <c r="C301" s="201"/>
      <c r="D301" s="202"/>
      <c r="E301" s="203"/>
      <c r="F301" s="204"/>
      <c r="G301" s="204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201"/>
      <c r="B302" s="197"/>
      <c r="C302" s="201"/>
      <c r="D302" s="202"/>
      <c r="E302" s="203"/>
      <c r="F302" s="204"/>
      <c r="G302" s="204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201"/>
      <c r="B303" s="197"/>
      <c r="C303" s="201"/>
      <c r="D303" s="202"/>
      <c r="E303" s="203"/>
      <c r="F303" s="204"/>
      <c r="G303" s="204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201"/>
      <c r="B304" s="197"/>
      <c r="C304" s="201"/>
      <c r="D304" s="202"/>
      <c r="E304" s="203"/>
      <c r="F304" s="204"/>
      <c r="G304" s="204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201"/>
      <c r="B305" s="197"/>
      <c r="C305" s="201"/>
      <c r="D305" s="202"/>
      <c r="E305" s="203"/>
      <c r="F305" s="204"/>
      <c r="G305" s="204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201"/>
      <c r="B306" s="197"/>
      <c r="C306" s="201"/>
      <c r="D306" s="202"/>
      <c r="E306" s="203"/>
      <c r="F306" s="204"/>
      <c r="G306" s="204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201"/>
      <c r="B307" s="197"/>
      <c r="C307" s="201"/>
      <c r="D307" s="202"/>
      <c r="E307" s="203"/>
      <c r="F307" s="204"/>
      <c r="G307" s="204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201"/>
      <c r="B308" s="197"/>
      <c r="C308" s="201"/>
      <c r="D308" s="202"/>
      <c r="E308" s="203"/>
      <c r="F308" s="204"/>
      <c r="G308" s="204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201"/>
      <c r="B309" s="197"/>
      <c r="C309" s="201"/>
      <c r="D309" s="202"/>
      <c r="E309" s="203"/>
      <c r="F309" s="204"/>
      <c r="G309" s="204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201"/>
      <c r="B310" s="197"/>
      <c r="C310" s="201"/>
      <c r="D310" s="202"/>
      <c r="E310" s="203"/>
      <c r="F310" s="204"/>
      <c r="G310" s="204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201"/>
      <c r="B311" s="197"/>
      <c r="C311" s="201"/>
      <c r="D311" s="202"/>
      <c r="E311" s="203"/>
      <c r="F311" s="204"/>
      <c r="G311" s="204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201"/>
      <c r="B312" s="197"/>
      <c r="C312" s="201"/>
      <c r="D312" s="202"/>
      <c r="E312" s="203"/>
      <c r="F312" s="204"/>
      <c r="G312" s="204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201"/>
      <c r="B313" s="197"/>
      <c r="C313" s="201"/>
      <c r="D313" s="202"/>
      <c r="E313" s="203"/>
      <c r="F313" s="204"/>
      <c r="G313" s="204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201"/>
      <c r="B314" s="197"/>
      <c r="C314" s="201"/>
      <c r="D314" s="202"/>
      <c r="E314" s="203"/>
      <c r="F314" s="204"/>
      <c r="G314" s="204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201"/>
      <c r="B315" s="197"/>
      <c r="C315" s="201"/>
      <c r="D315" s="202"/>
      <c r="E315" s="203"/>
      <c r="F315" s="204"/>
      <c r="G315" s="204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201"/>
      <c r="B316" s="197"/>
      <c r="C316" s="201"/>
      <c r="D316" s="202"/>
      <c r="E316" s="203"/>
      <c r="F316" s="204"/>
      <c r="G316" s="204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201"/>
      <c r="B317" s="197"/>
      <c r="C317" s="201"/>
      <c r="D317" s="202"/>
      <c r="E317" s="203"/>
      <c r="F317" s="204"/>
      <c r="G317" s="204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201"/>
      <c r="B318" s="197"/>
      <c r="C318" s="201"/>
      <c r="D318" s="202"/>
      <c r="E318" s="203"/>
      <c r="F318" s="204"/>
      <c r="G318" s="204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201"/>
      <c r="B319" s="197"/>
      <c r="C319" s="201"/>
      <c r="D319" s="202"/>
      <c r="E319" s="203"/>
      <c r="F319" s="204"/>
      <c r="G319" s="204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201"/>
      <c r="B320" s="197"/>
      <c r="C320" s="201"/>
      <c r="D320" s="202"/>
      <c r="E320" s="203"/>
      <c r="F320" s="204"/>
      <c r="G320" s="204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201"/>
      <c r="B321" s="197"/>
      <c r="C321" s="201"/>
      <c r="D321" s="202"/>
      <c r="E321" s="203"/>
      <c r="F321" s="204"/>
      <c r="G321" s="204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201"/>
      <c r="B322" s="197"/>
      <c r="C322" s="201"/>
      <c r="D322" s="202"/>
      <c r="E322" s="203"/>
      <c r="F322" s="204"/>
      <c r="G322" s="204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201"/>
      <c r="B323" s="197"/>
      <c r="C323" s="201"/>
      <c r="D323" s="202"/>
      <c r="E323" s="203"/>
      <c r="F323" s="204"/>
      <c r="G323" s="204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201"/>
      <c r="B324" s="197"/>
      <c r="C324" s="201"/>
      <c r="D324" s="202"/>
      <c r="E324" s="203"/>
      <c r="F324" s="204"/>
      <c r="G324" s="204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201"/>
      <c r="B325" s="197"/>
      <c r="C325" s="201"/>
      <c r="D325" s="202"/>
      <c r="E325" s="203"/>
      <c r="F325" s="204"/>
      <c r="G325" s="204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201"/>
      <c r="B326" s="197"/>
      <c r="C326" s="201"/>
      <c r="D326" s="202"/>
      <c r="E326" s="203"/>
      <c r="F326" s="204"/>
      <c r="G326" s="204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201"/>
      <c r="B327" s="197"/>
      <c r="C327" s="201"/>
      <c r="D327" s="202"/>
      <c r="E327" s="203"/>
      <c r="F327" s="204"/>
      <c r="G327" s="204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201"/>
      <c r="B328" s="197"/>
      <c r="C328" s="201"/>
      <c r="D328" s="202"/>
      <c r="E328" s="203"/>
      <c r="F328" s="204"/>
      <c r="G328" s="204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201"/>
      <c r="B329" s="197"/>
      <c r="C329" s="201"/>
      <c r="D329" s="202"/>
      <c r="E329" s="203"/>
      <c r="F329" s="204"/>
      <c r="G329" s="204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201"/>
      <c r="B330" s="197"/>
      <c r="C330" s="201"/>
      <c r="D330" s="202"/>
      <c r="E330" s="203"/>
      <c r="F330" s="204"/>
      <c r="G330" s="204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201"/>
      <c r="B331" s="197"/>
      <c r="C331" s="201"/>
      <c r="D331" s="202"/>
      <c r="E331" s="203"/>
      <c r="F331" s="204"/>
      <c r="G331" s="204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201"/>
      <c r="B332" s="197"/>
      <c r="C332" s="201"/>
      <c r="D332" s="202"/>
      <c r="E332" s="203"/>
      <c r="F332" s="204"/>
      <c r="G332" s="204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201"/>
      <c r="B333" s="197"/>
      <c r="C333" s="201"/>
      <c r="D333" s="202"/>
      <c r="E333" s="203"/>
      <c r="F333" s="204"/>
      <c r="G333" s="204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201"/>
      <c r="B334" s="197"/>
      <c r="C334" s="201"/>
      <c r="D334" s="202"/>
      <c r="E334" s="203"/>
      <c r="F334" s="204"/>
      <c r="G334" s="204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201"/>
      <c r="B335" s="197"/>
      <c r="C335" s="201"/>
      <c r="D335" s="202"/>
      <c r="E335" s="203"/>
      <c r="F335" s="204"/>
      <c r="G335" s="204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201"/>
      <c r="B336" s="197"/>
      <c r="C336" s="201"/>
      <c r="D336" s="202"/>
      <c r="E336" s="203"/>
      <c r="F336" s="204"/>
      <c r="G336" s="204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201"/>
      <c r="B337" s="197"/>
      <c r="C337" s="201"/>
      <c r="D337" s="202"/>
      <c r="E337" s="203"/>
      <c r="F337" s="204"/>
      <c r="G337" s="204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201"/>
      <c r="B338" s="197"/>
      <c r="C338" s="201"/>
      <c r="D338" s="202"/>
      <c r="E338" s="203"/>
      <c r="F338" s="204"/>
      <c r="G338" s="204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201"/>
      <c r="B339" s="197"/>
      <c r="C339" s="201"/>
      <c r="D339" s="202"/>
      <c r="E339" s="203"/>
      <c r="F339" s="204"/>
      <c r="G339" s="204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201"/>
      <c r="B340" s="197"/>
      <c r="C340" s="201"/>
      <c r="D340" s="202"/>
      <c r="E340" s="203"/>
      <c r="F340" s="204"/>
      <c r="G340" s="204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201"/>
      <c r="B341" s="197"/>
      <c r="C341" s="201"/>
      <c r="D341" s="202"/>
      <c r="E341" s="203"/>
      <c r="F341" s="204"/>
      <c r="G341" s="204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201"/>
      <c r="B342" s="197"/>
      <c r="C342" s="201"/>
      <c r="D342" s="202"/>
      <c r="E342" s="203"/>
      <c r="F342" s="204"/>
      <c r="G342" s="204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201"/>
      <c r="B343" s="197"/>
      <c r="C343" s="201"/>
      <c r="D343" s="202"/>
      <c r="E343" s="203"/>
      <c r="F343" s="204"/>
      <c r="G343" s="204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201"/>
      <c r="B344" s="197"/>
      <c r="C344" s="201"/>
      <c r="D344" s="202"/>
      <c r="E344" s="203"/>
      <c r="F344" s="204"/>
      <c r="G344" s="204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201"/>
      <c r="B345" s="197"/>
      <c r="C345" s="201"/>
      <c r="D345" s="202"/>
      <c r="E345" s="203"/>
      <c r="F345" s="204"/>
      <c r="G345" s="204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201"/>
      <c r="B346" s="197"/>
      <c r="C346" s="201"/>
      <c r="D346" s="202"/>
      <c r="E346" s="203"/>
      <c r="F346" s="204"/>
      <c r="G346" s="204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201"/>
      <c r="B347" s="197"/>
      <c r="C347" s="201"/>
      <c r="D347" s="202"/>
      <c r="E347" s="203"/>
      <c r="F347" s="204"/>
      <c r="G347" s="204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201"/>
      <c r="B348" s="197"/>
      <c r="C348" s="201"/>
      <c r="D348" s="202"/>
      <c r="E348" s="203"/>
      <c r="F348" s="204"/>
      <c r="G348" s="204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201"/>
      <c r="B349" s="197"/>
      <c r="C349" s="201"/>
      <c r="D349" s="202"/>
      <c r="E349" s="203"/>
      <c r="F349" s="204"/>
      <c r="G349" s="204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201"/>
      <c r="B350" s="197"/>
      <c r="C350" s="201"/>
      <c r="D350" s="202"/>
      <c r="E350" s="203"/>
      <c r="F350" s="204"/>
      <c r="G350" s="204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201"/>
      <c r="B351" s="197"/>
      <c r="C351" s="201"/>
      <c r="D351" s="202"/>
      <c r="E351" s="203"/>
      <c r="F351" s="204"/>
      <c r="G351" s="204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201"/>
      <c r="B352" s="197"/>
      <c r="C352" s="201"/>
      <c r="D352" s="202"/>
      <c r="E352" s="203"/>
      <c r="F352" s="204"/>
      <c r="G352" s="204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201"/>
      <c r="B353" s="197"/>
      <c r="C353" s="201"/>
      <c r="D353" s="202"/>
      <c r="E353" s="203"/>
      <c r="F353" s="204"/>
      <c r="G353" s="204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201"/>
      <c r="B354" s="197"/>
      <c r="C354" s="201"/>
      <c r="D354" s="202"/>
      <c r="E354" s="203"/>
      <c r="F354" s="204"/>
      <c r="G354" s="204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201"/>
      <c r="B355" s="197"/>
      <c r="C355" s="201"/>
      <c r="D355" s="202"/>
      <c r="E355" s="203"/>
      <c r="F355" s="204"/>
      <c r="G355" s="204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201"/>
      <c r="B356" s="197"/>
      <c r="C356" s="201"/>
      <c r="D356" s="202"/>
      <c r="E356" s="203"/>
      <c r="F356" s="204"/>
      <c r="G356" s="204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201"/>
      <c r="B357" s="197"/>
      <c r="C357" s="201"/>
      <c r="D357" s="202"/>
      <c r="E357" s="203"/>
      <c r="F357" s="204"/>
      <c r="G357" s="204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201"/>
      <c r="B358" s="197"/>
      <c r="C358" s="201"/>
      <c r="D358" s="202"/>
      <c r="E358" s="203"/>
      <c r="F358" s="204"/>
      <c r="G358" s="204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201"/>
      <c r="B359" s="197"/>
      <c r="C359" s="201"/>
      <c r="D359" s="202"/>
      <c r="E359" s="203"/>
      <c r="F359" s="204"/>
      <c r="G359" s="204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201"/>
      <c r="B360" s="197"/>
      <c r="C360" s="201"/>
      <c r="D360" s="202"/>
      <c r="E360" s="203"/>
      <c r="F360" s="204"/>
      <c r="G360" s="204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201"/>
      <c r="B361" s="197"/>
      <c r="C361" s="201"/>
      <c r="D361" s="202"/>
      <c r="E361" s="203"/>
      <c r="F361" s="204"/>
      <c r="G361" s="204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201"/>
      <c r="B362" s="197"/>
      <c r="C362" s="201"/>
      <c r="D362" s="202"/>
      <c r="E362" s="203"/>
      <c r="F362" s="204"/>
      <c r="G362" s="204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201"/>
      <c r="B363" s="197"/>
      <c r="C363" s="201"/>
      <c r="D363" s="202"/>
      <c r="E363" s="203"/>
      <c r="F363" s="204"/>
      <c r="G363" s="204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201"/>
      <c r="B364" s="197"/>
      <c r="C364" s="201"/>
      <c r="D364" s="202"/>
      <c r="E364" s="203"/>
      <c r="F364" s="204"/>
      <c r="G364" s="204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201"/>
      <c r="B365" s="197"/>
      <c r="C365" s="201"/>
      <c r="D365" s="202"/>
      <c r="E365" s="203"/>
      <c r="F365" s="204"/>
      <c r="G365" s="204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201"/>
      <c r="B366" s="197"/>
      <c r="C366" s="201"/>
      <c r="D366" s="202"/>
      <c r="E366" s="203"/>
      <c r="F366" s="204"/>
      <c r="G366" s="204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201"/>
      <c r="B367" s="197"/>
      <c r="C367" s="201"/>
      <c r="D367" s="202"/>
      <c r="E367" s="203"/>
      <c r="F367" s="204"/>
      <c r="G367" s="204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201"/>
      <c r="B368" s="197"/>
      <c r="C368" s="201"/>
      <c r="D368" s="202"/>
      <c r="E368" s="203"/>
      <c r="F368" s="204"/>
      <c r="G368" s="204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201"/>
      <c r="B369" s="197"/>
      <c r="C369" s="201"/>
      <c r="D369" s="202"/>
      <c r="E369" s="203"/>
      <c r="F369" s="204"/>
      <c r="G369" s="204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201"/>
      <c r="B370" s="197"/>
      <c r="C370" s="201"/>
      <c r="D370" s="202"/>
      <c r="E370" s="203"/>
      <c r="F370" s="204"/>
      <c r="G370" s="204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201"/>
      <c r="B371" s="197"/>
      <c r="C371" s="201"/>
      <c r="D371" s="202"/>
      <c r="E371" s="203"/>
      <c r="F371" s="204"/>
      <c r="G371" s="204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201"/>
      <c r="B372" s="197"/>
      <c r="C372" s="201"/>
      <c r="D372" s="202"/>
      <c r="E372" s="203"/>
      <c r="F372" s="204"/>
      <c r="G372" s="204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201"/>
      <c r="B373" s="197"/>
      <c r="C373" s="201"/>
      <c r="D373" s="202"/>
      <c r="E373" s="203"/>
      <c r="F373" s="204"/>
      <c r="G373" s="204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201"/>
      <c r="B374" s="197"/>
      <c r="C374" s="201"/>
      <c r="D374" s="202"/>
      <c r="E374" s="203"/>
      <c r="F374" s="204"/>
      <c r="G374" s="204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201"/>
      <c r="B375" s="197"/>
      <c r="C375" s="201"/>
      <c r="D375" s="202"/>
      <c r="E375" s="203"/>
      <c r="F375" s="204"/>
      <c r="G375" s="204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201"/>
      <c r="B376" s="197"/>
      <c r="C376" s="201"/>
      <c r="D376" s="202"/>
      <c r="E376" s="203"/>
      <c r="F376" s="204"/>
      <c r="G376" s="204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201"/>
      <c r="B377" s="197"/>
      <c r="C377" s="201"/>
      <c r="D377" s="202"/>
      <c r="E377" s="203"/>
      <c r="F377" s="204"/>
      <c r="G377" s="204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201"/>
      <c r="B378" s="197"/>
      <c r="C378" s="201"/>
      <c r="D378" s="202"/>
      <c r="E378" s="203"/>
      <c r="F378" s="204"/>
      <c r="G378" s="204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201"/>
      <c r="B379" s="197"/>
      <c r="C379" s="201"/>
      <c r="D379" s="202"/>
      <c r="E379" s="203"/>
      <c r="F379" s="204"/>
      <c r="G379" s="204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201"/>
      <c r="B380" s="197"/>
      <c r="C380" s="201"/>
      <c r="D380" s="202"/>
      <c r="E380" s="203"/>
      <c r="F380" s="204"/>
      <c r="G380" s="204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201"/>
      <c r="B381" s="197"/>
      <c r="C381" s="201"/>
      <c r="D381" s="202"/>
      <c r="E381" s="203"/>
      <c r="F381" s="204"/>
      <c r="G381" s="204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201"/>
      <c r="B382" s="197"/>
      <c r="C382" s="201"/>
      <c r="D382" s="202"/>
      <c r="E382" s="203"/>
      <c r="F382" s="204"/>
      <c r="G382" s="204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201"/>
      <c r="B383" s="197"/>
      <c r="C383" s="201"/>
      <c r="D383" s="202"/>
      <c r="E383" s="203"/>
      <c r="F383" s="204"/>
      <c r="G383" s="204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201"/>
      <c r="B384" s="197"/>
      <c r="C384" s="201"/>
      <c r="D384" s="202"/>
      <c r="E384" s="203"/>
      <c r="F384" s="204"/>
      <c r="G384" s="204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201"/>
      <c r="B385" s="197"/>
      <c r="C385" s="201"/>
      <c r="D385" s="202"/>
      <c r="E385" s="203"/>
      <c r="F385" s="204"/>
      <c r="G385" s="204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201"/>
      <c r="B386" s="197"/>
      <c r="C386" s="201"/>
      <c r="D386" s="202"/>
      <c r="E386" s="203"/>
      <c r="F386" s="204"/>
      <c r="G386" s="204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201"/>
      <c r="B387" s="197"/>
      <c r="C387" s="201"/>
      <c r="D387" s="202"/>
      <c r="E387" s="203"/>
      <c r="F387" s="204"/>
      <c r="G387" s="204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201"/>
      <c r="B388" s="197"/>
      <c r="C388" s="201"/>
      <c r="D388" s="202"/>
      <c r="E388" s="203"/>
      <c r="F388" s="204"/>
      <c r="G388" s="204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201"/>
      <c r="B389" s="197"/>
      <c r="C389" s="201"/>
      <c r="D389" s="202"/>
      <c r="E389" s="203"/>
      <c r="F389" s="204"/>
      <c r="G389" s="204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201"/>
      <c r="B390" s="197"/>
      <c r="C390" s="201"/>
      <c r="D390" s="202"/>
      <c r="E390" s="203"/>
      <c r="F390" s="204"/>
      <c r="G390" s="204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201"/>
      <c r="B391" s="197"/>
      <c r="C391" s="201"/>
      <c r="D391" s="202"/>
      <c r="E391" s="203"/>
      <c r="F391" s="204"/>
      <c r="G391" s="204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201"/>
      <c r="B392" s="197"/>
      <c r="C392" s="201"/>
      <c r="D392" s="202"/>
      <c r="E392" s="203"/>
      <c r="F392" s="204"/>
      <c r="G392" s="204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201"/>
      <c r="B393" s="197"/>
      <c r="C393" s="201"/>
      <c r="D393" s="202"/>
      <c r="E393" s="203"/>
      <c r="F393" s="204"/>
      <c r="G393" s="204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201"/>
      <c r="B394" s="197"/>
      <c r="C394" s="201"/>
      <c r="D394" s="202"/>
      <c r="E394" s="203"/>
      <c r="F394" s="204"/>
      <c r="G394" s="204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201"/>
      <c r="B395" s="197"/>
      <c r="C395" s="201"/>
      <c r="D395" s="202"/>
      <c r="E395" s="203"/>
      <c r="F395" s="204"/>
      <c r="G395" s="204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201"/>
      <c r="B396" s="197"/>
      <c r="C396" s="201"/>
      <c r="D396" s="202"/>
      <c r="E396" s="203"/>
      <c r="F396" s="204"/>
      <c r="G396" s="204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201"/>
      <c r="B397" s="197"/>
      <c r="C397" s="201"/>
      <c r="D397" s="202"/>
      <c r="E397" s="203"/>
      <c r="F397" s="204"/>
      <c r="G397" s="204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201"/>
      <c r="B398" s="197"/>
      <c r="C398" s="201"/>
      <c r="D398" s="202"/>
      <c r="E398" s="203"/>
      <c r="F398" s="204"/>
      <c r="G398" s="204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201"/>
      <c r="B399" s="197"/>
      <c r="C399" s="201"/>
      <c r="D399" s="202"/>
      <c r="E399" s="203"/>
      <c r="F399" s="204"/>
      <c r="G399" s="204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201"/>
      <c r="B400" s="197"/>
      <c r="C400" s="201"/>
      <c r="D400" s="202"/>
      <c r="E400" s="203"/>
      <c r="F400" s="204"/>
      <c r="G400" s="204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201"/>
      <c r="B401" s="197"/>
      <c r="C401" s="201"/>
      <c r="D401" s="202"/>
      <c r="E401" s="203"/>
      <c r="F401" s="204"/>
      <c r="G401" s="204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201"/>
      <c r="B402" s="197"/>
      <c r="C402" s="201"/>
      <c r="D402" s="202"/>
      <c r="E402" s="203"/>
      <c r="F402" s="204"/>
      <c r="G402" s="204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201"/>
      <c r="B403" s="197"/>
      <c r="C403" s="201"/>
      <c r="D403" s="202"/>
      <c r="E403" s="203"/>
      <c r="F403" s="204"/>
      <c r="G403" s="204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201"/>
      <c r="B404" s="197"/>
      <c r="C404" s="201"/>
      <c r="D404" s="202"/>
      <c r="E404" s="203"/>
      <c r="F404" s="204"/>
      <c r="G404" s="204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201"/>
      <c r="B405" s="197"/>
      <c r="C405" s="201"/>
      <c r="D405" s="202"/>
      <c r="E405" s="203"/>
      <c r="F405" s="204"/>
      <c r="G405" s="204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201"/>
      <c r="B406" s="197"/>
      <c r="C406" s="201"/>
      <c r="D406" s="202"/>
      <c r="E406" s="203"/>
      <c r="F406" s="204"/>
      <c r="G406" s="204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201"/>
      <c r="B407" s="197"/>
      <c r="C407" s="201"/>
      <c r="D407" s="202"/>
      <c r="E407" s="203"/>
      <c r="F407" s="204"/>
      <c r="G407" s="204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201"/>
      <c r="B408" s="197"/>
      <c r="C408" s="201"/>
      <c r="D408" s="202"/>
      <c r="E408" s="203"/>
      <c r="F408" s="204"/>
      <c r="G408" s="204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201"/>
      <c r="B409" s="197"/>
      <c r="C409" s="201"/>
      <c r="D409" s="202"/>
      <c r="E409" s="203"/>
      <c r="F409" s="204"/>
      <c r="G409" s="204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201"/>
      <c r="B410" s="197"/>
      <c r="C410" s="201"/>
      <c r="D410" s="202"/>
      <c r="E410" s="203"/>
      <c r="F410" s="204"/>
      <c r="G410" s="204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201"/>
      <c r="B411" s="197"/>
      <c r="C411" s="201"/>
      <c r="D411" s="202"/>
      <c r="E411" s="203"/>
      <c r="F411" s="204"/>
      <c r="G411" s="204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201"/>
      <c r="B412" s="197"/>
      <c r="C412" s="201"/>
      <c r="D412" s="202"/>
      <c r="E412" s="203"/>
      <c r="F412" s="204"/>
      <c r="G412" s="204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201"/>
      <c r="B413" s="197"/>
      <c r="C413" s="201"/>
      <c r="D413" s="202"/>
      <c r="E413" s="203"/>
      <c r="F413" s="204"/>
      <c r="G413" s="204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201"/>
      <c r="B414" s="197"/>
      <c r="C414" s="201"/>
      <c r="D414" s="202"/>
      <c r="E414" s="203"/>
      <c r="F414" s="204"/>
      <c r="G414" s="204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201"/>
      <c r="B415" s="197"/>
      <c r="C415" s="201"/>
      <c r="D415" s="202"/>
      <c r="E415" s="203"/>
      <c r="F415" s="204"/>
      <c r="G415" s="204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201"/>
      <c r="B416" s="197"/>
      <c r="C416" s="201"/>
      <c r="D416" s="202"/>
      <c r="E416" s="203"/>
      <c r="F416" s="204"/>
      <c r="G416" s="204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201"/>
      <c r="B417" s="197"/>
      <c r="C417" s="201"/>
      <c r="D417" s="202"/>
      <c r="E417" s="203"/>
      <c r="F417" s="204"/>
      <c r="G417" s="204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201"/>
      <c r="B418" s="197"/>
      <c r="C418" s="201"/>
      <c r="D418" s="202"/>
      <c r="E418" s="203"/>
      <c r="F418" s="204"/>
      <c r="G418" s="204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201"/>
      <c r="B419" s="197"/>
      <c r="C419" s="201"/>
      <c r="D419" s="202"/>
      <c r="E419" s="203"/>
      <c r="F419" s="204"/>
      <c r="G419" s="204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201"/>
      <c r="B420" s="197"/>
      <c r="C420" s="201"/>
      <c r="D420" s="202"/>
      <c r="E420" s="203"/>
      <c r="F420" s="204"/>
      <c r="G420" s="204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201"/>
      <c r="B421" s="197"/>
      <c r="C421" s="201"/>
      <c r="D421" s="202"/>
      <c r="E421" s="203"/>
      <c r="F421" s="204"/>
      <c r="G421" s="204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201"/>
      <c r="B422" s="197"/>
      <c r="C422" s="201"/>
      <c r="D422" s="202"/>
      <c r="E422" s="203"/>
      <c r="F422" s="204"/>
      <c r="G422" s="204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201"/>
      <c r="B423" s="197"/>
      <c r="C423" s="201"/>
      <c r="D423" s="202"/>
      <c r="E423" s="203"/>
      <c r="F423" s="204"/>
      <c r="G423" s="204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201"/>
      <c r="B424" s="197"/>
      <c r="C424" s="201"/>
      <c r="D424" s="202"/>
      <c r="E424" s="203"/>
      <c r="F424" s="204"/>
      <c r="G424" s="204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201"/>
      <c r="B425" s="197"/>
      <c r="C425" s="201"/>
      <c r="D425" s="202"/>
      <c r="E425" s="203"/>
      <c r="F425" s="204"/>
      <c r="G425" s="204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201"/>
      <c r="B426" s="197"/>
      <c r="C426" s="201"/>
      <c r="D426" s="202"/>
      <c r="E426" s="203"/>
      <c r="F426" s="204"/>
      <c r="G426" s="204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201"/>
      <c r="B427" s="197"/>
      <c r="C427" s="201"/>
      <c r="D427" s="202"/>
      <c r="E427" s="203"/>
      <c r="F427" s="204"/>
      <c r="G427" s="204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201"/>
      <c r="B428" s="197"/>
      <c r="C428" s="201"/>
      <c r="D428" s="202"/>
      <c r="E428" s="203"/>
      <c r="F428" s="204"/>
      <c r="G428" s="204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201"/>
      <c r="B429" s="197"/>
      <c r="C429" s="201"/>
      <c r="D429" s="202"/>
      <c r="E429" s="203"/>
      <c r="F429" s="204"/>
      <c r="G429" s="204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201"/>
      <c r="B430" s="197"/>
      <c r="C430" s="201"/>
      <c r="D430" s="202"/>
      <c r="E430" s="203"/>
      <c r="F430" s="204"/>
      <c r="G430" s="204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201"/>
      <c r="B431" s="197"/>
      <c r="C431" s="201"/>
      <c r="D431" s="202"/>
      <c r="E431" s="203"/>
      <c r="F431" s="204"/>
      <c r="G431" s="204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201"/>
      <c r="B432" s="197"/>
      <c r="C432" s="201"/>
      <c r="D432" s="202"/>
      <c r="E432" s="203"/>
      <c r="F432" s="204"/>
      <c r="G432" s="204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201"/>
      <c r="B433" s="197"/>
      <c r="C433" s="201"/>
      <c r="D433" s="202"/>
      <c r="E433" s="203"/>
      <c r="F433" s="204"/>
      <c r="G433" s="204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201"/>
      <c r="B434" s="197"/>
      <c r="C434" s="201"/>
      <c r="D434" s="202"/>
      <c r="E434" s="203"/>
      <c r="F434" s="204"/>
      <c r="G434" s="204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201"/>
      <c r="B435" s="197"/>
      <c r="C435" s="201"/>
      <c r="D435" s="202"/>
      <c r="E435" s="203"/>
      <c r="F435" s="204"/>
      <c r="G435" s="204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201"/>
      <c r="B436" s="197"/>
      <c r="C436" s="201"/>
      <c r="D436" s="202"/>
      <c r="E436" s="203"/>
      <c r="F436" s="204"/>
      <c r="G436" s="204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201"/>
      <c r="B437" s="197"/>
      <c r="C437" s="201"/>
      <c r="D437" s="202"/>
      <c r="E437" s="203"/>
      <c r="F437" s="204"/>
      <c r="G437" s="204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201"/>
      <c r="B438" s="197"/>
      <c r="C438" s="201"/>
      <c r="D438" s="202"/>
      <c r="E438" s="203"/>
      <c r="F438" s="204"/>
      <c r="G438" s="204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201"/>
      <c r="B439" s="197"/>
      <c r="C439" s="201"/>
      <c r="D439" s="202"/>
      <c r="E439" s="203"/>
      <c r="F439" s="204"/>
      <c r="G439" s="204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201"/>
      <c r="B440" s="197"/>
      <c r="C440" s="201"/>
      <c r="D440" s="202"/>
      <c r="E440" s="203"/>
      <c r="F440" s="204"/>
      <c r="G440" s="204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201"/>
      <c r="B441" s="197"/>
      <c r="C441" s="201"/>
      <c r="D441" s="202"/>
      <c r="E441" s="203"/>
      <c r="F441" s="204"/>
      <c r="G441" s="204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201"/>
      <c r="B442" s="197"/>
      <c r="C442" s="201"/>
      <c r="D442" s="202"/>
      <c r="E442" s="203"/>
      <c r="F442" s="204"/>
      <c r="G442" s="204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201"/>
      <c r="B443" s="197"/>
      <c r="C443" s="201"/>
      <c r="D443" s="202"/>
      <c r="E443" s="203"/>
      <c r="F443" s="204"/>
      <c r="G443" s="204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201"/>
      <c r="B444" s="197"/>
      <c r="C444" s="201"/>
      <c r="D444" s="202"/>
      <c r="E444" s="203"/>
      <c r="F444" s="204"/>
      <c r="G444" s="204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201"/>
      <c r="B445" s="197"/>
      <c r="C445" s="201"/>
      <c r="D445" s="202"/>
      <c r="E445" s="203"/>
      <c r="F445" s="204"/>
      <c r="G445" s="204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201"/>
      <c r="B446" s="197"/>
      <c r="C446" s="201"/>
      <c r="D446" s="202"/>
      <c r="E446" s="203"/>
      <c r="F446" s="204"/>
      <c r="G446" s="204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201"/>
      <c r="B447" s="197"/>
      <c r="C447" s="201"/>
      <c r="D447" s="202"/>
      <c r="E447" s="203"/>
      <c r="F447" s="204"/>
      <c r="G447" s="204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201"/>
      <c r="B448" s="197"/>
      <c r="C448" s="201"/>
      <c r="D448" s="202"/>
      <c r="E448" s="203"/>
      <c r="F448" s="204"/>
      <c r="G448" s="204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201"/>
      <c r="B449" s="197"/>
      <c r="C449" s="201"/>
      <c r="D449" s="202"/>
      <c r="E449" s="203"/>
      <c r="F449" s="204"/>
      <c r="G449" s="204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201"/>
      <c r="B450" s="197"/>
      <c r="C450" s="201"/>
      <c r="D450" s="202"/>
      <c r="E450" s="203"/>
      <c r="F450" s="204"/>
      <c r="G450" s="204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201"/>
      <c r="B451" s="197"/>
      <c r="C451" s="201"/>
      <c r="D451" s="202"/>
      <c r="E451" s="203"/>
      <c r="F451" s="204"/>
      <c r="G451" s="204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201"/>
      <c r="B452" s="197"/>
      <c r="C452" s="201"/>
      <c r="D452" s="202"/>
      <c r="E452" s="203"/>
      <c r="F452" s="204"/>
      <c r="G452" s="204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201"/>
      <c r="B453" s="197"/>
      <c r="C453" s="201"/>
      <c r="D453" s="202"/>
      <c r="E453" s="203"/>
      <c r="F453" s="204"/>
      <c r="G453" s="204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201"/>
      <c r="B454" s="197"/>
      <c r="C454" s="201"/>
      <c r="D454" s="202"/>
      <c r="E454" s="203"/>
      <c r="F454" s="204"/>
      <c r="G454" s="204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201"/>
      <c r="B455" s="197"/>
      <c r="C455" s="201"/>
      <c r="D455" s="202"/>
      <c r="E455" s="203"/>
      <c r="F455" s="204"/>
      <c r="G455" s="204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201"/>
      <c r="B456" s="197"/>
      <c r="C456" s="201"/>
      <c r="D456" s="202"/>
      <c r="E456" s="203"/>
      <c r="F456" s="204"/>
      <c r="G456" s="204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201"/>
      <c r="B457" s="197"/>
      <c r="C457" s="201"/>
      <c r="D457" s="202"/>
      <c r="E457" s="203"/>
      <c r="F457" s="204"/>
      <c r="G457" s="204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201"/>
      <c r="B458" s="197"/>
      <c r="C458" s="201"/>
      <c r="D458" s="202"/>
      <c r="E458" s="203"/>
      <c r="F458" s="204"/>
      <c r="G458" s="204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201"/>
      <c r="B459" s="197"/>
      <c r="C459" s="201"/>
      <c r="D459" s="202"/>
      <c r="E459" s="203"/>
      <c r="F459" s="204"/>
      <c r="G459" s="204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201"/>
      <c r="B460" s="197"/>
      <c r="C460" s="201"/>
      <c r="D460" s="202"/>
      <c r="E460" s="203"/>
      <c r="F460" s="204"/>
      <c r="G460" s="204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201"/>
      <c r="B461" s="197"/>
      <c r="C461" s="201"/>
      <c r="D461" s="202"/>
      <c r="E461" s="203"/>
      <c r="F461" s="204"/>
      <c r="G461" s="204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201"/>
      <c r="B462" s="197"/>
      <c r="C462" s="201"/>
      <c r="D462" s="202"/>
      <c r="E462" s="203"/>
      <c r="F462" s="204"/>
      <c r="G462" s="204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201"/>
      <c r="B463" s="197"/>
      <c r="C463" s="201"/>
      <c r="D463" s="202"/>
      <c r="E463" s="203"/>
      <c r="F463" s="204"/>
      <c r="G463" s="204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201"/>
      <c r="B464" s="197"/>
      <c r="C464" s="201"/>
      <c r="D464" s="202"/>
      <c r="E464" s="203"/>
      <c r="F464" s="204"/>
      <c r="G464" s="204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201"/>
      <c r="B465" s="197"/>
      <c r="C465" s="201"/>
      <c r="D465" s="202"/>
      <c r="E465" s="203"/>
      <c r="F465" s="204"/>
      <c r="G465" s="204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201"/>
      <c r="B466" s="197"/>
      <c r="C466" s="201"/>
      <c r="D466" s="202"/>
      <c r="E466" s="203"/>
      <c r="F466" s="204"/>
      <c r="G466" s="204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201"/>
      <c r="B467" s="197"/>
      <c r="C467" s="201"/>
      <c r="D467" s="202"/>
      <c r="E467" s="203"/>
      <c r="F467" s="204"/>
      <c r="G467" s="204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201"/>
      <c r="B468" s="197"/>
      <c r="C468" s="201"/>
      <c r="D468" s="202"/>
      <c r="E468" s="203"/>
      <c r="F468" s="204"/>
      <c r="G468" s="204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201"/>
      <c r="B469" s="197"/>
      <c r="C469" s="201"/>
      <c r="D469" s="202"/>
      <c r="E469" s="203"/>
      <c r="F469" s="204"/>
      <c r="G469" s="204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201"/>
      <c r="B470" s="197"/>
      <c r="C470" s="201"/>
      <c r="D470" s="202"/>
      <c r="E470" s="203"/>
      <c r="F470" s="204"/>
      <c r="G470" s="204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201"/>
      <c r="B471" s="197"/>
      <c r="C471" s="201"/>
      <c r="D471" s="202"/>
      <c r="E471" s="203"/>
      <c r="F471" s="204"/>
      <c r="G471" s="204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201"/>
      <c r="B472" s="197"/>
      <c r="C472" s="201"/>
      <c r="D472" s="202"/>
      <c r="E472" s="203"/>
      <c r="F472" s="204"/>
      <c r="G472" s="204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201"/>
      <c r="B473" s="197"/>
      <c r="C473" s="201"/>
      <c r="D473" s="202"/>
      <c r="E473" s="203"/>
      <c r="F473" s="204"/>
      <c r="G473" s="204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201"/>
      <c r="B474" s="197"/>
      <c r="C474" s="201"/>
      <c r="D474" s="202"/>
      <c r="E474" s="203"/>
      <c r="F474" s="204"/>
      <c r="G474" s="204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201"/>
      <c r="B475" s="197"/>
      <c r="C475" s="201"/>
      <c r="D475" s="202"/>
      <c r="E475" s="203"/>
      <c r="F475" s="204"/>
      <c r="G475" s="204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201"/>
      <c r="B476" s="197"/>
      <c r="C476" s="201"/>
      <c r="D476" s="202"/>
      <c r="E476" s="203"/>
      <c r="F476" s="204"/>
      <c r="G476" s="204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201"/>
      <c r="B477" s="197"/>
      <c r="C477" s="201"/>
      <c r="D477" s="202"/>
      <c r="E477" s="203"/>
      <c r="F477" s="204"/>
      <c r="G477" s="204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201"/>
      <c r="B478" s="197"/>
      <c r="C478" s="201"/>
      <c r="D478" s="202"/>
      <c r="E478" s="203"/>
      <c r="F478" s="204"/>
      <c r="G478" s="204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201"/>
      <c r="B479" s="197"/>
      <c r="C479" s="201"/>
      <c r="D479" s="202"/>
      <c r="E479" s="203"/>
      <c r="F479" s="204"/>
      <c r="G479" s="204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201"/>
      <c r="B480" s="197"/>
      <c r="C480" s="201"/>
      <c r="D480" s="202"/>
      <c r="E480" s="203"/>
      <c r="F480" s="204"/>
      <c r="G480" s="204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201"/>
      <c r="B481" s="197"/>
      <c r="C481" s="201"/>
      <c r="D481" s="202"/>
      <c r="E481" s="203"/>
      <c r="F481" s="204"/>
      <c r="G481" s="204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201"/>
      <c r="B482" s="197"/>
      <c r="C482" s="201"/>
      <c r="D482" s="202"/>
      <c r="E482" s="203"/>
      <c r="F482" s="204"/>
      <c r="G482" s="204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201"/>
      <c r="B483" s="197"/>
      <c r="C483" s="201"/>
      <c r="D483" s="202"/>
      <c r="E483" s="203"/>
      <c r="F483" s="204"/>
      <c r="G483" s="204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201"/>
      <c r="B484" s="197"/>
      <c r="C484" s="201"/>
      <c r="D484" s="202"/>
      <c r="E484" s="203"/>
      <c r="F484" s="204"/>
      <c r="G484" s="204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201"/>
      <c r="B485" s="197"/>
      <c r="C485" s="201"/>
      <c r="D485" s="202"/>
      <c r="E485" s="203"/>
      <c r="F485" s="204"/>
      <c r="G485" s="204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201"/>
      <c r="B486" s="197"/>
      <c r="C486" s="201"/>
      <c r="D486" s="202"/>
      <c r="E486" s="203"/>
      <c r="F486" s="204"/>
      <c r="G486" s="204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201"/>
      <c r="B487" s="197"/>
      <c r="C487" s="201"/>
      <c r="D487" s="202"/>
      <c r="E487" s="203"/>
      <c r="F487" s="204"/>
      <c r="G487" s="204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201"/>
      <c r="B488" s="197"/>
      <c r="C488" s="201"/>
      <c r="D488" s="202"/>
      <c r="E488" s="203"/>
      <c r="F488" s="204"/>
      <c r="G488" s="204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201"/>
      <c r="B489" s="197"/>
      <c r="C489" s="201"/>
      <c r="D489" s="202"/>
      <c r="E489" s="203"/>
      <c r="F489" s="204"/>
      <c r="G489" s="204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201"/>
      <c r="B490" s="197"/>
      <c r="C490" s="201"/>
      <c r="D490" s="202"/>
      <c r="E490" s="203"/>
      <c r="F490" s="204"/>
      <c r="G490" s="204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201"/>
      <c r="B491" s="197"/>
      <c r="C491" s="201"/>
      <c r="D491" s="202"/>
      <c r="E491" s="203"/>
      <c r="F491" s="204"/>
      <c r="G491" s="204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201"/>
      <c r="B492" s="197"/>
      <c r="C492" s="201"/>
      <c r="D492" s="202"/>
      <c r="E492" s="203"/>
      <c r="F492" s="204"/>
      <c r="G492" s="204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201"/>
      <c r="B493" s="197"/>
      <c r="C493" s="201"/>
      <c r="D493" s="202"/>
      <c r="E493" s="203"/>
      <c r="F493" s="204"/>
      <c r="G493" s="204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201"/>
      <c r="B494" s="197"/>
      <c r="C494" s="201"/>
      <c r="D494" s="202"/>
      <c r="E494" s="203"/>
      <c r="F494" s="204"/>
      <c r="G494" s="204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201"/>
      <c r="B495" s="197"/>
      <c r="C495" s="201"/>
      <c r="D495" s="202"/>
      <c r="E495" s="203"/>
      <c r="F495" s="204"/>
      <c r="G495" s="204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201"/>
      <c r="B496" s="197"/>
      <c r="C496" s="201"/>
      <c r="D496" s="202"/>
      <c r="E496" s="203"/>
      <c r="F496" s="204"/>
      <c r="G496" s="204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201"/>
      <c r="B497" s="197"/>
      <c r="C497" s="201"/>
      <c r="D497" s="202"/>
      <c r="E497" s="203"/>
      <c r="F497" s="204"/>
      <c r="G497" s="204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201"/>
      <c r="B498" s="197"/>
      <c r="C498" s="201"/>
      <c r="D498" s="202"/>
      <c r="E498" s="203"/>
      <c r="F498" s="204"/>
      <c r="G498" s="204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201"/>
      <c r="B499" s="197"/>
      <c r="C499" s="201"/>
      <c r="D499" s="202"/>
      <c r="E499" s="203"/>
      <c r="F499" s="204"/>
      <c r="G499" s="204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201"/>
      <c r="B500" s="197"/>
      <c r="C500" s="201"/>
      <c r="D500" s="202"/>
      <c r="E500" s="203"/>
      <c r="F500" s="204"/>
      <c r="G500" s="204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201"/>
      <c r="B501" s="197"/>
      <c r="C501" s="201"/>
      <c r="D501" s="202"/>
      <c r="E501" s="203"/>
      <c r="F501" s="204"/>
      <c r="G501" s="204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201"/>
      <c r="B502" s="197"/>
      <c r="C502" s="201"/>
      <c r="D502" s="202"/>
      <c r="E502" s="203"/>
      <c r="F502" s="204"/>
      <c r="G502" s="204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201"/>
      <c r="B503" s="197"/>
      <c r="C503" s="201"/>
      <c r="D503" s="202"/>
      <c r="E503" s="203"/>
      <c r="F503" s="204"/>
      <c r="G503" s="204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201"/>
      <c r="B504" s="197"/>
      <c r="C504" s="201"/>
      <c r="D504" s="202"/>
      <c r="E504" s="203"/>
      <c r="F504" s="204"/>
      <c r="G504" s="204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201"/>
      <c r="B505" s="197"/>
      <c r="C505" s="201"/>
      <c r="D505" s="202"/>
      <c r="E505" s="203"/>
      <c r="F505" s="204"/>
      <c r="G505" s="204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201"/>
      <c r="B506" s="197"/>
      <c r="C506" s="201"/>
      <c r="D506" s="202"/>
      <c r="E506" s="203"/>
      <c r="F506" s="204"/>
      <c r="G506" s="204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201"/>
      <c r="B507" s="197"/>
      <c r="C507" s="201"/>
      <c r="D507" s="202"/>
      <c r="E507" s="203"/>
      <c r="F507" s="204"/>
      <c r="G507" s="204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201"/>
      <c r="B508" s="197"/>
      <c r="C508" s="201"/>
      <c r="D508" s="202"/>
      <c r="E508" s="203"/>
      <c r="F508" s="204"/>
      <c r="G508" s="204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201"/>
      <c r="B509" s="197"/>
      <c r="C509" s="201"/>
      <c r="D509" s="202"/>
      <c r="E509" s="203"/>
      <c r="F509" s="204"/>
      <c r="G509" s="204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201"/>
      <c r="B510" s="197"/>
      <c r="C510" s="201"/>
      <c r="D510" s="202"/>
      <c r="E510" s="203"/>
      <c r="F510" s="204"/>
      <c r="G510" s="204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201"/>
      <c r="B511" s="197"/>
      <c r="C511" s="201"/>
      <c r="D511" s="202"/>
      <c r="E511" s="203"/>
      <c r="F511" s="204"/>
      <c r="G511" s="204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201"/>
      <c r="B512" s="197"/>
      <c r="C512" s="201"/>
      <c r="D512" s="202"/>
      <c r="E512" s="203"/>
      <c r="F512" s="204"/>
      <c r="G512" s="204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201"/>
      <c r="B513" s="197"/>
      <c r="C513" s="201"/>
      <c r="D513" s="202"/>
      <c r="E513" s="203"/>
      <c r="F513" s="204"/>
      <c r="G513" s="204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201"/>
      <c r="B514" s="197"/>
      <c r="C514" s="201"/>
      <c r="D514" s="202"/>
      <c r="E514" s="203"/>
      <c r="F514" s="204"/>
      <c r="G514" s="204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201"/>
      <c r="B515" s="197"/>
      <c r="C515" s="201"/>
      <c r="D515" s="202"/>
      <c r="E515" s="203"/>
      <c r="F515" s="204"/>
      <c r="G515" s="204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201"/>
      <c r="B516" s="197"/>
      <c r="C516" s="201"/>
      <c r="D516" s="202"/>
      <c r="E516" s="203"/>
      <c r="F516" s="204"/>
      <c r="G516" s="204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201"/>
      <c r="B517" s="197"/>
      <c r="C517" s="201"/>
      <c r="D517" s="202"/>
      <c r="E517" s="203"/>
      <c r="F517" s="204"/>
      <c r="G517" s="204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201"/>
      <c r="B518" s="197"/>
      <c r="C518" s="201"/>
      <c r="D518" s="202"/>
      <c r="E518" s="203"/>
      <c r="F518" s="204"/>
      <c r="G518" s="204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201"/>
      <c r="B519" s="197"/>
      <c r="C519" s="201"/>
      <c r="D519" s="202"/>
      <c r="E519" s="203"/>
      <c r="F519" s="204"/>
      <c r="G519" s="204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201"/>
      <c r="B520" s="197"/>
      <c r="C520" s="201"/>
      <c r="D520" s="202"/>
      <c r="E520" s="203"/>
      <c r="F520" s="204"/>
      <c r="G520" s="204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201"/>
      <c r="B521" s="197"/>
      <c r="C521" s="201"/>
      <c r="D521" s="202"/>
      <c r="E521" s="203"/>
      <c r="F521" s="204"/>
      <c r="G521" s="204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201"/>
      <c r="B522" s="197"/>
      <c r="C522" s="201"/>
      <c r="D522" s="202"/>
      <c r="E522" s="203"/>
      <c r="F522" s="204"/>
      <c r="G522" s="204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201"/>
      <c r="B523" s="197"/>
      <c r="C523" s="201"/>
      <c r="D523" s="202"/>
      <c r="E523" s="203"/>
      <c r="F523" s="204"/>
      <c r="G523" s="204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201"/>
      <c r="B524" s="197"/>
      <c r="C524" s="201"/>
      <c r="D524" s="202"/>
      <c r="E524" s="203"/>
      <c r="F524" s="204"/>
      <c r="G524" s="204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201"/>
      <c r="B525" s="197"/>
      <c r="C525" s="201"/>
      <c r="D525" s="202"/>
      <c r="E525" s="203"/>
      <c r="F525" s="204"/>
      <c r="G525" s="204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201"/>
      <c r="B526" s="197"/>
      <c r="C526" s="201"/>
      <c r="D526" s="202"/>
      <c r="E526" s="203"/>
      <c r="F526" s="204"/>
      <c r="G526" s="204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201"/>
      <c r="B527" s="197"/>
      <c r="C527" s="201"/>
      <c r="D527" s="202"/>
      <c r="E527" s="203"/>
      <c r="F527" s="204"/>
      <c r="G527" s="204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201"/>
      <c r="B528" s="197"/>
      <c r="C528" s="201"/>
      <c r="D528" s="202"/>
      <c r="E528" s="203"/>
      <c r="F528" s="204"/>
      <c r="G528" s="204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201"/>
      <c r="B529" s="197"/>
      <c r="C529" s="201"/>
      <c r="D529" s="202"/>
      <c r="E529" s="203"/>
      <c r="F529" s="204"/>
      <c r="G529" s="204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201"/>
      <c r="B530" s="197"/>
      <c r="C530" s="201"/>
      <c r="D530" s="202"/>
      <c r="E530" s="203"/>
      <c r="F530" s="204"/>
      <c r="G530" s="204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201"/>
      <c r="B531" s="197"/>
      <c r="C531" s="201"/>
      <c r="D531" s="202"/>
      <c r="E531" s="203"/>
      <c r="F531" s="204"/>
      <c r="G531" s="204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201"/>
      <c r="B532" s="197"/>
      <c r="C532" s="201"/>
      <c r="D532" s="202"/>
      <c r="E532" s="203"/>
      <c r="F532" s="204"/>
      <c r="G532" s="204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201"/>
      <c r="B533" s="197"/>
      <c r="C533" s="201"/>
      <c r="D533" s="202"/>
      <c r="E533" s="203"/>
      <c r="F533" s="204"/>
      <c r="G533" s="204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201"/>
      <c r="B534" s="197"/>
      <c r="C534" s="201"/>
      <c r="D534" s="202"/>
      <c r="E534" s="203"/>
      <c r="F534" s="204"/>
      <c r="G534" s="204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201"/>
      <c r="B535" s="197"/>
      <c r="C535" s="201"/>
      <c r="D535" s="202"/>
      <c r="E535" s="203"/>
      <c r="F535" s="204"/>
      <c r="G535" s="204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201"/>
      <c r="B536" s="197"/>
      <c r="C536" s="201"/>
      <c r="D536" s="202"/>
      <c r="E536" s="203"/>
      <c r="F536" s="204"/>
      <c r="G536" s="204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201"/>
      <c r="B537" s="197"/>
      <c r="C537" s="201"/>
      <c r="D537" s="202"/>
      <c r="E537" s="203"/>
      <c r="F537" s="204"/>
      <c r="G537" s="204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201"/>
      <c r="B538" s="197"/>
      <c r="C538" s="201"/>
      <c r="D538" s="202"/>
      <c r="E538" s="203"/>
      <c r="F538" s="204"/>
      <c r="G538" s="204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201"/>
      <c r="B539" s="197"/>
      <c r="C539" s="201"/>
      <c r="D539" s="202"/>
      <c r="E539" s="203"/>
      <c r="F539" s="204"/>
      <c r="G539" s="204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201"/>
      <c r="B540" s="197"/>
      <c r="C540" s="201"/>
      <c r="D540" s="202"/>
      <c r="E540" s="203"/>
      <c r="F540" s="204"/>
      <c r="G540" s="204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201"/>
      <c r="B541" s="197"/>
      <c r="C541" s="201"/>
      <c r="D541" s="202"/>
      <c r="E541" s="203"/>
      <c r="F541" s="204"/>
      <c r="G541" s="204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201"/>
      <c r="B542" s="197"/>
      <c r="C542" s="201"/>
      <c r="D542" s="202"/>
      <c r="E542" s="203"/>
      <c r="F542" s="204"/>
      <c r="G542" s="204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201"/>
      <c r="B543" s="197"/>
      <c r="C543" s="201"/>
      <c r="D543" s="202"/>
      <c r="E543" s="203"/>
      <c r="F543" s="204"/>
      <c r="G543" s="204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201"/>
      <c r="B544" s="197"/>
      <c r="C544" s="201"/>
      <c r="D544" s="202"/>
      <c r="E544" s="203"/>
      <c r="F544" s="204"/>
      <c r="G544" s="204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201"/>
      <c r="B545" s="197"/>
      <c r="C545" s="201"/>
      <c r="D545" s="202"/>
      <c r="E545" s="203"/>
      <c r="F545" s="204"/>
      <c r="G545" s="204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201"/>
      <c r="B546" s="197"/>
      <c r="C546" s="201"/>
      <c r="D546" s="202"/>
      <c r="E546" s="203"/>
      <c r="F546" s="204"/>
      <c r="G546" s="204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201"/>
      <c r="B547" s="197"/>
      <c r="C547" s="201"/>
      <c r="D547" s="202"/>
      <c r="E547" s="203"/>
      <c r="F547" s="204"/>
      <c r="G547" s="204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201"/>
      <c r="B548" s="197"/>
      <c r="C548" s="201"/>
      <c r="D548" s="202"/>
      <c r="E548" s="203"/>
      <c r="F548" s="204"/>
      <c r="G548" s="204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201"/>
      <c r="B549" s="197"/>
      <c r="C549" s="201"/>
      <c r="D549" s="202"/>
      <c r="E549" s="203"/>
      <c r="F549" s="204"/>
      <c r="G549" s="204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201"/>
      <c r="B550" s="197"/>
      <c r="C550" s="201"/>
      <c r="D550" s="202"/>
      <c r="E550" s="203"/>
      <c r="F550" s="204"/>
      <c r="G550" s="204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201"/>
      <c r="B551" s="197"/>
      <c r="C551" s="201"/>
      <c r="D551" s="202"/>
      <c r="E551" s="203"/>
      <c r="F551" s="204"/>
      <c r="G551" s="204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201"/>
      <c r="B552" s="197"/>
      <c r="C552" s="201"/>
      <c r="D552" s="202"/>
      <c r="E552" s="203"/>
      <c r="F552" s="204"/>
      <c r="G552" s="204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201"/>
      <c r="B553" s="197"/>
      <c r="C553" s="201"/>
      <c r="D553" s="202"/>
      <c r="E553" s="203"/>
      <c r="F553" s="204"/>
      <c r="G553" s="204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201"/>
      <c r="B554" s="197"/>
      <c r="C554" s="201"/>
      <c r="D554" s="202"/>
      <c r="E554" s="203"/>
      <c r="F554" s="204"/>
      <c r="G554" s="204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201"/>
      <c r="B555" s="197"/>
      <c r="C555" s="201"/>
      <c r="D555" s="202"/>
      <c r="E555" s="203"/>
      <c r="F555" s="204"/>
      <c r="G555" s="204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201"/>
      <c r="B556" s="197"/>
      <c r="C556" s="201"/>
      <c r="D556" s="202"/>
      <c r="E556" s="203"/>
      <c r="F556" s="204"/>
      <c r="G556" s="204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201"/>
      <c r="B557" s="197"/>
      <c r="C557" s="201"/>
      <c r="D557" s="202"/>
      <c r="E557" s="203"/>
      <c r="F557" s="204"/>
      <c r="G557" s="204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201"/>
      <c r="B558" s="197"/>
      <c r="C558" s="201"/>
      <c r="D558" s="202"/>
      <c r="E558" s="203"/>
      <c r="F558" s="204"/>
      <c r="G558" s="204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201"/>
      <c r="B559" s="197"/>
      <c r="C559" s="201"/>
      <c r="D559" s="202"/>
      <c r="E559" s="203"/>
      <c r="F559" s="204"/>
      <c r="G559" s="204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201"/>
      <c r="B560" s="197"/>
      <c r="C560" s="201"/>
      <c r="D560" s="202"/>
      <c r="E560" s="203"/>
      <c r="F560" s="204"/>
      <c r="G560" s="204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201"/>
      <c r="B561" s="197"/>
      <c r="C561" s="201"/>
      <c r="D561" s="202"/>
      <c r="E561" s="203"/>
      <c r="F561" s="204"/>
      <c r="G561" s="204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201"/>
      <c r="B562" s="197"/>
      <c r="C562" s="201"/>
      <c r="D562" s="202"/>
      <c r="E562" s="203"/>
      <c r="F562" s="204"/>
      <c r="G562" s="204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201"/>
      <c r="B563" s="197"/>
      <c r="C563" s="201"/>
      <c r="D563" s="202"/>
      <c r="E563" s="203"/>
      <c r="F563" s="204"/>
      <c r="G563" s="204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201"/>
      <c r="B564" s="197"/>
      <c r="C564" s="201"/>
      <c r="D564" s="202"/>
      <c r="E564" s="203"/>
      <c r="F564" s="204"/>
      <c r="G564" s="204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201"/>
      <c r="B565" s="197"/>
      <c r="C565" s="201"/>
      <c r="D565" s="202"/>
      <c r="E565" s="203"/>
      <c r="F565" s="204"/>
      <c r="G565" s="204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201"/>
      <c r="B566" s="197"/>
      <c r="C566" s="201"/>
      <c r="D566" s="202"/>
      <c r="E566" s="203"/>
      <c r="F566" s="204"/>
      <c r="G566" s="204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201"/>
      <c r="B567" s="197"/>
      <c r="C567" s="201"/>
      <c r="D567" s="202"/>
      <c r="E567" s="203"/>
      <c r="F567" s="204"/>
      <c r="G567" s="204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201"/>
      <c r="B568" s="197"/>
      <c r="C568" s="201"/>
      <c r="D568" s="202"/>
      <c r="E568" s="203"/>
      <c r="F568" s="204"/>
      <c r="G568" s="204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201"/>
      <c r="B569" s="197"/>
      <c r="C569" s="201"/>
      <c r="D569" s="202"/>
      <c r="E569" s="203"/>
      <c r="F569" s="204"/>
      <c r="G569" s="204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201"/>
      <c r="B570" s="197"/>
      <c r="C570" s="201"/>
      <c r="D570" s="202"/>
      <c r="E570" s="203"/>
      <c r="F570" s="204"/>
      <c r="G570" s="204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201"/>
      <c r="B571" s="197"/>
      <c r="C571" s="201"/>
      <c r="D571" s="202"/>
      <c r="E571" s="203"/>
      <c r="F571" s="204"/>
      <c r="G571" s="204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201"/>
      <c r="B572" s="197"/>
      <c r="C572" s="201"/>
      <c r="D572" s="202"/>
      <c r="E572" s="203"/>
      <c r="F572" s="204"/>
      <c r="G572" s="204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201"/>
      <c r="B573" s="197"/>
      <c r="C573" s="201"/>
      <c r="D573" s="202"/>
      <c r="E573" s="203"/>
      <c r="F573" s="204"/>
      <c r="G573" s="204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201"/>
      <c r="B574" s="197"/>
      <c r="C574" s="201"/>
      <c r="D574" s="202"/>
      <c r="E574" s="203"/>
      <c r="F574" s="204"/>
      <c r="G574" s="204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201"/>
      <c r="B575" s="197"/>
      <c r="C575" s="201"/>
      <c r="D575" s="202"/>
      <c r="E575" s="203"/>
      <c r="F575" s="204"/>
      <c r="G575" s="204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201"/>
      <c r="B576" s="197"/>
      <c r="C576" s="201"/>
      <c r="D576" s="202"/>
      <c r="E576" s="203"/>
      <c r="F576" s="204"/>
      <c r="G576" s="204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201"/>
      <c r="B577" s="197"/>
      <c r="C577" s="201"/>
      <c r="D577" s="202"/>
      <c r="E577" s="203"/>
      <c r="F577" s="204"/>
      <c r="G577" s="204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201"/>
      <c r="B578" s="197"/>
      <c r="C578" s="201"/>
      <c r="D578" s="202"/>
      <c r="E578" s="203"/>
      <c r="F578" s="204"/>
      <c r="G578" s="204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201"/>
      <c r="B579" s="197"/>
      <c r="C579" s="201"/>
      <c r="D579" s="202"/>
      <c r="E579" s="203"/>
      <c r="F579" s="204"/>
      <c r="G579" s="204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201"/>
      <c r="B580" s="197"/>
      <c r="C580" s="201"/>
      <c r="D580" s="202"/>
      <c r="E580" s="203"/>
      <c r="F580" s="204"/>
      <c r="G580" s="204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201"/>
      <c r="B581" s="197"/>
      <c r="C581" s="201"/>
      <c r="D581" s="202"/>
      <c r="E581" s="203"/>
      <c r="F581" s="204"/>
      <c r="G581" s="204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201"/>
      <c r="B582" s="197"/>
      <c r="C582" s="201"/>
      <c r="D582" s="202"/>
      <c r="E582" s="203"/>
      <c r="F582" s="204"/>
      <c r="G582" s="204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201"/>
      <c r="B583" s="197"/>
      <c r="C583" s="201"/>
      <c r="D583" s="202"/>
      <c r="E583" s="203"/>
      <c r="F583" s="204"/>
      <c r="G583" s="204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201"/>
      <c r="B584" s="197"/>
      <c r="C584" s="201"/>
      <c r="D584" s="202"/>
      <c r="E584" s="203"/>
      <c r="F584" s="204"/>
      <c r="G584" s="204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201"/>
      <c r="B585" s="197"/>
      <c r="C585" s="201"/>
      <c r="D585" s="202"/>
      <c r="E585" s="203"/>
      <c r="F585" s="204"/>
      <c r="G585" s="204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201"/>
      <c r="B586" s="197"/>
      <c r="C586" s="201"/>
      <c r="D586" s="202"/>
      <c r="E586" s="203"/>
      <c r="F586" s="204"/>
      <c r="G586" s="204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201"/>
      <c r="B587" s="197"/>
      <c r="C587" s="201"/>
      <c r="D587" s="202"/>
      <c r="E587" s="203"/>
      <c r="F587" s="204"/>
      <c r="G587" s="204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201"/>
      <c r="B588" s="197"/>
      <c r="C588" s="201"/>
      <c r="D588" s="202"/>
      <c r="E588" s="203"/>
      <c r="F588" s="204"/>
      <c r="G588" s="204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201"/>
      <c r="B589" s="197"/>
      <c r="C589" s="201"/>
      <c r="D589" s="202"/>
      <c r="E589" s="203"/>
      <c r="F589" s="204"/>
      <c r="G589" s="204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201"/>
      <c r="B590" s="197"/>
      <c r="C590" s="201"/>
      <c r="D590" s="202"/>
      <c r="E590" s="203"/>
      <c r="F590" s="204"/>
      <c r="G590" s="204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201"/>
      <c r="B591" s="197"/>
      <c r="C591" s="201"/>
      <c r="D591" s="202"/>
      <c r="E591" s="203"/>
      <c r="F591" s="204"/>
      <c r="G591" s="204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201"/>
      <c r="B592" s="197"/>
      <c r="C592" s="201"/>
      <c r="D592" s="202"/>
      <c r="E592" s="203"/>
      <c r="F592" s="204"/>
      <c r="G592" s="204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201"/>
      <c r="B593" s="197"/>
      <c r="C593" s="201"/>
      <c r="D593" s="202"/>
      <c r="E593" s="203"/>
      <c r="F593" s="204"/>
      <c r="G593" s="204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201"/>
      <c r="B594" s="197"/>
      <c r="C594" s="201"/>
      <c r="D594" s="202"/>
      <c r="E594" s="203"/>
      <c r="F594" s="204"/>
      <c r="G594" s="204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201"/>
      <c r="B595" s="197"/>
      <c r="C595" s="201"/>
      <c r="D595" s="202"/>
      <c r="E595" s="203"/>
      <c r="F595" s="204"/>
      <c r="G595" s="204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201"/>
      <c r="B596" s="197"/>
      <c r="C596" s="201"/>
      <c r="D596" s="202"/>
      <c r="E596" s="203"/>
      <c r="F596" s="204"/>
      <c r="G596" s="204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201"/>
      <c r="B597" s="197"/>
      <c r="C597" s="201"/>
      <c r="D597" s="202"/>
      <c r="E597" s="203"/>
      <c r="F597" s="204"/>
      <c r="G597" s="204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201"/>
      <c r="B598" s="197"/>
      <c r="C598" s="201"/>
      <c r="D598" s="202"/>
      <c r="E598" s="203"/>
      <c r="F598" s="204"/>
      <c r="G598" s="204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201"/>
      <c r="B599" s="197"/>
      <c r="C599" s="201"/>
      <c r="D599" s="202"/>
      <c r="E599" s="203"/>
      <c r="F599" s="204"/>
      <c r="G599" s="204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201"/>
      <c r="B600" s="197"/>
      <c r="C600" s="201"/>
      <c r="D600" s="202"/>
      <c r="E600" s="203"/>
      <c r="F600" s="204"/>
      <c r="G600" s="204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201"/>
      <c r="B601" s="197"/>
      <c r="C601" s="201"/>
      <c r="D601" s="202"/>
      <c r="E601" s="203"/>
      <c r="F601" s="204"/>
      <c r="G601" s="204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201"/>
      <c r="B602" s="197"/>
      <c r="C602" s="201"/>
      <c r="D602" s="202"/>
      <c r="E602" s="203"/>
      <c r="F602" s="204"/>
      <c r="G602" s="204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201"/>
      <c r="B603" s="197"/>
      <c r="C603" s="201"/>
      <c r="D603" s="202"/>
      <c r="E603" s="203"/>
      <c r="F603" s="204"/>
      <c r="G603" s="204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201"/>
      <c r="B604" s="197"/>
      <c r="C604" s="201"/>
      <c r="D604" s="202"/>
      <c r="E604" s="203"/>
      <c r="F604" s="204"/>
      <c r="G604" s="204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201"/>
      <c r="B605" s="197"/>
      <c r="C605" s="201"/>
      <c r="D605" s="202"/>
      <c r="E605" s="203"/>
      <c r="F605" s="204"/>
      <c r="G605" s="204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201"/>
      <c r="B606" s="197"/>
      <c r="C606" s="201"/>
      <c r="D606" s="202"/>
      <c r="E606" s="203"/>
      <c r="F606" s="204"/>
      <c r="G606" s="204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201"/>
      <c r="B607" s="197"/>
      <c r="C607" s="201"/>
      <c r="D607" s="202"/>
      <c r="E607" s="203"/>
      <c r="F607" s="204"/>
      <c r="G607" s="204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201"/>
      <c r="B608" s="197"/>
      <c r="C608" s="201"/>
      <c r="D608" s="202"/>
      <c r="E608" s="203"/>
      <c r="F608" s="204"/>
      <c r="G608" s="204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201"/>
      <c r="B609" s="197"/>
      <c r="C609" s="201"/>
      <c r="D609" s="202"/>
      <c r="E609" s="203"/>
      <c r="F609" s="204"/>
      <c r="G609" s="204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201"/>
      <c r="B610" s="197"/>
      <c r="C610" s="201"/>
      <c r="D610" s="202"/>
      <c r="E610" s="203"/>
      <c r="F610" s="204"/>
      <c r="G610" s="204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201"/>
      <c r="B611" s="197"/>
      <c r="C611" s="201"/>
      <c r="D611" s="202"/>
      <c r="E611" s="203"/>
      <c r="F611" s="204"/>
      <c r="G611" s="204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201"/>
      <c r="B612" s="197"/>
      <c r="C612" s="201"/>
      <c r="D612" s="202"/>
      <c r="E612" s="203"/>
      <c r="F612" s="204"/>
      <c r="G612" s="204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201"/>
      <c r="B613" s="197"/>
      <c r="C613" s="201"/>
      <c r="D613" s="202"/>
      <c r="E613" s="203"/>
      <c r="F613" s="204"/>
      <c r="G613" s="204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201"/>
      <c r="B614" s="197"/>
      <c r="C614" s="201"/>
      <c r="D614" s="202"/>
      <c r="E614" s="203"/>
      <c r="F614" s="204"/>
      <c r="G614" s="204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201"/>
      <c r="B615" s="197"/>
      <c r="C615" s="201"/>
      <c r="D615" s="202"/>
      <c r="E615" s="203"/>
      <c r="F615" s="204"/>
      <c r="G615" s="204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201"/>
      <c r="B616" s="197"/>
      <c r="C616" s="201"/>
      <c r="D616" s="202"/>
      <c r="E616" s="203"/>
      <c r="F616" s="204"/>
      <c r="G616" s="204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201"/>
      <c r="B617" s="197"/>
      <c r="C617" s="201"/>
      <c r="D617" s="202"/>
      <c r="E617" s="203"/>
      <c r="F617" s="204"/>
      <c r="G617" s="204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201"/>
      <c r="B618" s="197"/>
      <c r="C618" s="201"/>
      <c r="D618" s="202"/>
      <c r="E618" s="203"/>
      <c r="F618" s="204"/>
      <c r="G618" s="204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201"/>
      <c r="B619" s="197"/>
      <c r="C619" s="201"/>
      <c r="D619" s="202"/>
      <c r="E619" s="203"/>
      <c r="F619" s="204"/>
      <c r="G619" s="204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201"/>
      <c r="B620" s="197"/>
      <c r="C620" s="201"/>
      <c r="D620" s="202"/>
      <c r="E620" s="203"/>
      <c r="F620" s="204"/>
      <c r="G620" s="204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201"/>
      <c r="B621" s="197"/>
      <c r="C621" s="201"/>
      <c r="D621" s="202"/>
      <c r="E621" s="203"/>
      <c r="F621" s="204"/>
      <c r="G621" s="204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201"/>
      <c r="B622" s="197"/>
      <c r="C622" s="201"/>
      <c r="D622" s="202"/>
      <c r="E622" s="203"/>
      <c r="F622" s="204"/>
      <c r="G622" s="204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201"/>
      <c r="B623" s="197"/>
      <c r="C623" s="201"/>
      <c r="D623" s="202"/>
      <c r="E623" s="203"/>
      <c r="F623" s="204"/>
      <c r="G623" s="204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201"/>
      <c r="B624" s="197"/>
      <c r="C624" s="201"/>
      <c r="D624" s="202"/>
      <c r="E624" s="203"/>
      <c r="F624" s="204"/>
      <c r="G624" s="204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201"/>
      <c r="B625" s="197"/>
      <c r="C625" s="201"/>
      <c r="D625" s="202"/>
      <c r="E625" s="203"/>
      <c r="F625" s="204"/>
      <c r="G625" s="204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201"/>
      <c r="B626" s="197"/>
      <c r="C626" s="201"/>
      <c r="D626" s="202"/>
      <c r="E626" s="203"/>
      <c r="F626" s="204"/>
      <c r="G626" s="204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201"/>
      <c r="B627" s="197"/>
      <c r="C627" s="201"/>
      <c r="D627" s="202"/>
      <c r="E627" s="203"/>
      <c r="F627" s="204"/>
      <c r="G627" s="204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201"/>
      <c r="B628" s="197"/>
      <c r="C628" s="201"/>
      <c r="D628" s="202"/>
      <c r="E628" s="203"/>
      <c r="F628" s="204"/>
      <c r="G628" s="204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201"/>
      <c r="B629" s="197"/>
      <c r="C629" s="201"/>
      <c r="D629" s="202"/>
      <c r="E629" s="203"/>
      <c r="F629" s="204"/>
      <c r="G629" s="204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201"/>
      <c r="B630" s="197"/>
      <c r="C630" s="201"/>
      <c r="D630" s="202"/>
      <c r="E630" s="203"/>
      <c r="F630" s="204"/>
      <c r="G630" s="204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201"/>
      <c r="B631" s="197"/>
      <c r="C631" s="201"/>
      <c r="D631" s="202"/>
      <c r="E631" s="203"/>
      <c r="F631" s="204"/>
      <c r="G631" s="204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201"/>
      <c r="B632" s="197"/>
      <c r="C632" s="201"/>
      <c r="D632" s="202"/>
      <c r="E632" s="203"/>
      <c r="F632" s="204"/>
      <c r="G632" s="204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201"/>
      <c r="B633" s="197"/>
      <c r="C633" s="201"/>
      <c r="D633" s="202"/>
      <c r="E633" s="203"/>
      <c r="F633" s="204"/>
      <c r="G633" s="204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201"/>
      <c r="B634" s="197"/>
      <c r="C634" s="201"/>
      <c r="D634" s="202"/>
      <c r="E634" s="203"/>
      <c r="F634" s="204"/>
      <c r="G634" s="204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201"/>
      <c r="B635" s="197"/>
      <c r="C635" s="201"/>
      <c r="D635" s="202"/>
      <c r="E635" s="203"/>
      <c r="F635" s="204"/>
      <c r="G635" s="204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201"/>
      <c r="B636" s="197"/>
      <c r="C636" s="201"/>
      <c r="D636" s="202"/>
      <c r="E636" s="203"/>
      <c r="F636" s="204"/>
      <c r="G636" s="204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201"/>
      <c r="B637" s="197"/>
      <c r="C637" s="201"/>
      <c r="D637" s="202"/>
      <c r="E637" s="203"/>
      <c r="F637" s="204"/>
      <c r="G637" s="204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201"/>
      <c r="B638" s="197"/>
      <c r="C638" s="201"/>
      <c r="D638" s="202"/>
      <c r="E638" s="203"/>
      <c r="F638" s="204"/>
      <c r="G638" s="204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201"/>
      <c r="B639" s="197"/>
      <c r="C639" s="201"/>
      <c r="D639" s="202"/>
      <c r="E639" s="203"/>
      <c r="F639" s="204"/>
      <c r="G639" s="204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201"/>
      <c r="B640" s="197"/>
      <c r="C640" s="201"/>
      <c r="D640" s="202"/>
      <c r="E640" s="203"/>
      <c r="F640" s="204"/>
      <c r="G640" s="204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201"/>
      <c r="B641" s="197"/>
      <c r="C641" s="201"/>
      <c r="D641" s="202"/>
      <c r="E641" s="203"/>
      <c r="F641" s="204"/>
      <c r="G641" s="204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201"/>
      <c r="B642" s="197"/>
      <c r="C642" s="201"/>
      <c r="D642" s="202"/>
      <c r="E642" s="203"/>
      <c r="F642" s="204"/>
      <c r="G642" s="204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201"/>
      <c r="B643" s="197"/>
      <c r="C643" s="201"/>
      <c r="D643" s="202"/>
      <c r="E643" s="203"/>
      <c r="F643" s="204"/>
      <c r="G643" s="204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201"/>
      <c r="B644" s="197"/>
      <c r="C644" s="201"/>
      <c r="D644" s="202"/>
      <c r="E644" s="203"/>
      <c r="F644" s="204"/>
      <c r="G644" s="204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201"/>
      <c r="B645" s="197"/>
      <c r="C645" s="201"/>
      <c r="D645" s="202"/>
      <c r="E645" s="203"/>
      <c r="F645" s="204"/>
      <c r="G645" s="204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201"/>
      <c r="B646" s="197"/>
      <c r="C646" s="201"/>
      <c r="D646" s="202"/>
      <c r="E646" s="203"/>
      <c r="F646" s="204"/>
      <c r="G646" s="204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201"/>
      <c r="B647" s="197"/>
      <c r="C647" s="201"/>
      <c r="D647" s="202"/>
      <c r="E647" s="203"/>
      <c r="F647" s="204"/>
      <c r="G647" s="204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201"/>
      <c r="B648" s="197"/>
      <c r="C648" s="201"/>
      <c r="D648" s="202"/>
      <c r="E648" s="203"/>
      <c r="F648" s="204"/>
      <c r="G648" s="204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201"/>
      <c r="B649" s="197"/>
      <c r="C649" s="201"/>
      <c r="D649" s="202"/>
      <c r="E649" s="203"/>
      <c r="F649" s="204"/>
      <c r="G649" s="204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201"/>
      <c r="B650" s="197"/>
      <c r="C650" s="201"/>
      <c r="D650" s="202"/>
      <c r="E650" s="203"/>
      <c r="F650" s="204"/>
      <c r="G650" s="204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201"/>
      <c r="B651" s="197"/>
      <c r="C651" s="201"/>
      <c r="D651" s="202"/>
      <c r="E651" s="203"/>
      <c r="F651" s="204"/>
      <c r="G651" s="204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201"/>
      <c r="B652" s="197"/>
      <c r="C652" s="201"/>
      <c r="D652" s="202"/>
      <c r="E652" s="203"/>
      <c r="F652" s="204"/>
      <c r="G652" s="204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201"/>
      <c r="B653" s="197"/>
      <c r="C653" s="201"/>
      <c r="D653" s="202"/>
      <c r="E653" s="203"/>
      <c r="F653" s="204"/>
      <c r="G653" s="204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201"/>
      <c r="B654" s="197"/>
      <c r="C654" s="201"/>
      <c r="D654" s="202"/>
      <c r="E654" s="203"/>
      <c r="F654" s="204"/>
      <c r="G654" s="204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201"/>
      <c r="B655" s="197"/>
      <c r="C655" s="201"/>
      <c r="D655" s="202"/>
      <c r="E655" s="203"/>
      <c r="F655" s="204"/>
      <c r="G655" s="204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201"/>
      <c r="B656" s="197"/>
      <c r="C656" s="201"/>
      <c r="D656" s="202"/>
      <c r="E656" s="203"/>
      <c r="F656" s="204"/>
      <c r="G656" s="204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201"/>
      <c r="B657" s="197"/>
      <c r="C657" s="201"/>
      <c r="D657" s="202"/>
      <c r="E657" s="203"/>
      <c r="F657" s="204"/>
      <c r="G657" s="204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201"/>
      <c r="B658" s="197"/>
      <c r="C658" s="201"/>
      <c r="D658" s="202"/>
      <c r="E658" s="203"/>
      <c r="F658" s="204"/>
      <c r="G658" s="204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201"/>
      <c r="B659" s="197"/>
      <c r="C659" s="201"/>
      <c r="D659" s="202"/>
      <c r="E659" s="203"/>
      <c r="F659" s="204"/>
      <c r="G659" s="204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201"/>
      <c r="B660" s="197"/>
      <c r="C660" s="201"/>
      <c r="D660" s="202"/>
      <c r="E660" s="203"/>
      <c r="F660" s="204"/>
      <c r="G660" s="204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201"/>
      <c r="B661" s="197"/>
      <c r="C661" s="201"/>
      <c r="D661" s="202"/>
      <c r="E661" s="203"/>
      <c r="F661" s="204"/>
      <c r="G661" s="204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201"/>
      <c r="B662" s="197"/>
      <c r="C662" s="201"/>
      <c r="D662" s="202"/>
      <c r="E662" s="203"/>
      <c r="F662" s="204"/>
      <c r="G662" s="204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201"/>
      <c r="B663" s="197"/>
      <c r="C663" s="201"/>
      <c r="D663" s="202"/>
      <c r="E663" s="203"/>
      <c r="F663" s="204"/>
      <c r="G663" s="204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201"/>
      <c r="B664" s="197"/>
      <c r="C664" s="201"/>
      <c r="D664" s="202"/>
      <c r="E664" s="203"/>
      <c r="F664" s="204"/>
      <c r="G664" s="204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201"/>
      <c r="B665" s="197"/>
      <c r="C665" s="201"/>
      <c r="D665" s="202"/>
      <c r="E665" s="203"/>
      <c r="F665" s="204"/>
      <c r="G665" s="204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201"/>
      <c r="B666" s="197"/>
      <c r="C666" s="201"/>
      <c r="D666" s="202"/>
      <c r="E666" s="203"/>
      <c r="F666" s="204"/>
      <c r="G666" s="204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201"/>
      <c r="B667" s="197"/>
      <c r="C667" s="201"/>
      <c r="D667" s="202"/>
      <c r="E667" s="203"/>
      <c r="F667" s="204"/>
      <c r="G667" s="204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201"/>
      <c r="B668" s="197"/>
      <c r="C668" s="201"/>
      <c r="D668" s="202"/>
      <c r="E668" s="203"/>
      <c r="F668" s="204"/>
      <c r="G668" s="204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201"/>
      <c r="B669" s="197"/>
      <c r="C669" s="201"/>
      <c r="D669" s="202"/>
      <c r="E669" s="203"/>
      <c r="F669" s="204"/>
      <c r="G669" s="204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201"/>
      <c r="B670" s="197"/>
      <c r="C670" s="201"/>
      <c r="D670" s="202"/>
      <c r="E670" s="203"/>
      <c r="F670" s="204"/>
      <c r="G670" s="204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201"/>
      <c r="B671" s="197"/>
      <c r="C671" s="201"/>
      <c r="D671" s="202"/>
      <c r="E671" s="203"/>
      <c r="F671" s="204"/>
      <c r="G671" s="204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201"/>
      <c r="B672" s="197"/>
      <c r="C672" s="201"/>
      <c r="D672" s="202"/>
      <c r="E672" s="203"/>
      <c r="F672" s="204"/>
      <c r="G672" s="204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201"/>
      <c r="B673" s="197"/>
      <c r="C673" s="201"/>
      <c r="D673" s="202"/>
      <c r="E673" s="203"/>
      <c r="F673" s="204"/>
      <c r="G673" s="204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201"/>
      <c r="B674" s="197"/>
      <c r="C674" s="201"/>
      <c r="D674" s="202"/>
      <c r="E674" s="203"/>
      <c r="F674" s="204"/>
      <c r="G674" s="204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201"/>
      <c r="B675" s="197"/>
      <c r="C675" s="201"/>
      <c r="D675" s="202"/>
      <c r="E675" s="203"/>
      <c r="F675" s="204"/>
      <c r="G675" s="204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201"/>
      <c r="B676" s="197"/>
      <c r="C676" s="201"/>
      <c r="D676" s="202"/>
      <c r="E676" s="203"/>
      <c r="F676" s="204"/>
      <c r="G676" s="204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201"/>
      <c r="B677" s="197"/>
      <c r="C677" s="201"/>
      <c r="D677" s="202"/>
      <c r="E677" s="203"/>
      <c r="F677" s="204"/>
      <c r="G677" s="204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201"/>
      <c r="B678" s="197"/>
      <c r="C678" s="201"/>
      <c r="D678" s="202"/>
      <c r="E678" s="203"/>
      <c r="F678" s="204"/>
      <c r="G678" s="204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201"/>
      <c r="B679" s="197"/>
      <c r="C679" s="201"/>
      <c r="D679" s="202"/>
      <c r="E679" s="203"/>
      <c r="F679" s="204"/>
      <c r="G679" s="204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201"/>
      <c r="B680" s="197"/>
      <c r="C680" s="201"/>
      <c r="D680" s="202"/>
      <c r="E680" s="203"/>
      <c r="F680" s="204"/>
      <c r="G680" s="204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201"/>
      <c r="B681" s="197"/>
      <c r="C681" s="201"/>
      <c r="D681" s="202"/>
      <c r="E681" s="203"/>
      <c r="F681" s="204"/>
      <c r="G681" s="204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201"/>
      <c r="B682" s="197"/>
      <c r="C682" s="201"/>
      <c r="D682" s="202"/>
      <c r="E682" s="203"/>
      <c r="F682" s="204"/>
      <c r="G682" s="204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201"/>
      <c r="B683" s="197"/>
      <c r="C683" s="201"/>
      <c r="D683" s="202"/>
      <c r="E683" s="203"/>
      <c r="F683" s="204"/>
      <c r="G683" s="204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201"/>
      <c r="B684" s="197"/>
      <c r="C684" s="201"/>
      <c r="D684" s="202"/>
      <c r="E684" s="203"/>
      <c r="F684" s="204"/>
      <c r="G684" s="204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201"/>
      <c r="B685" s="197"/>
      <c r="C685" s="201"/>
      <c r="D685" s="202"/>
      <c r="E685" s="203"/>
      <c r="F685" s="204"/>
      <c r="G685" s="204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201"/>
      <c r="B686" s="197"/>
      <c r="C686" s="201"/>
      <c r="D686" s="202"/>
      <c r="E686" s="203"/>
      <c r="F686" s="204"/>
      <c r="G686" s="204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201"/>
      <c r="B687" s="197"/>
      <c r="C687" s="201"/>
      <c r="D687" s="202"/>
      <c r="E687" s="203"/>
      <c r="F687" s="204"/>
      <c r="G687" s="204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201"/>
      <c r="B688" s="197"/>
      <c r="C688" s="201"/>
      <c r="D688" s="202"/>
      <c r="E688" s="203"/>
      <c r="F688" s="204"/>
      <c r="G688" s="204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201"/>
      <c r="B689" s="197"/>
      <c r="C689" s="201"/>
      <c r="D689" s="202"/>
      <c r="E689" s="203"/>
      <c r="F689" s="204"/>
      <c r="G689" s="204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201"/>
      <c r="B690" s="197"/>
      <c r="C690" s="201"/>
      <c r="D690" s="202"/>
      <c r="E690" s="203"/>
      <c r="F690" s="204"/>
      <c r="G690" s="204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201"/>
      <c r="B691" s="197"/>
      <c r="C691" s="201"/>
      <c r="D691" s="202"/>
      <c r="E691" s="203"/>
      <c r="F691" s="204"/>
      <c r="G691" s="204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201"/>
      <c r="B692" s="197"/>
      <c r="C692" s="201"/>
      <c r="D692" s="202"/>
      <c r="E692" s="203"/>
      <c r="F692" s="204"/>
      <c r="G692" s="204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201"/>
      <c r="B693" s="197"/>
      <c r="C693" s="201"/>
      <c r="D693" s="202"/>
      <c r="E693" s="203"/>
      <c r="F693" s="204"/>
      <c r="G693" s="204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201"/>
      <c r="B694" s="197"/>
      <c r="C694" s="201"/>
      <c r="D694" s="202"/>
      <c r="E694" s="203"/>
      <c r="F694" s="204"/>
      <c r="G694" s="204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201"/>
      <c r="B695" s="197"/>
      <c r="C695" s="201"/>
      <c r="D695" s="202"/>
      <c r="E695" s="203"/>
      <c r="F695" s="204"/>
      <c r="G695" s="204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201"/>
      <c r="B696" s="197"/>
      <c r="C696" s="201"/>
      <c r="D696" s="202"/>
      <c r="E696" s="203"/>
      <c r="F696" s="204"/>
      <c r="G696" s="204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201"/>
      <c r="B697" s="197"/>
      <c r="C697" s="201"/>
      <c r="D697" s="202"/>
      <c r="E697" s="203"/>
      <c r="F697" s="204"/>
      <c r="G697" s="204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201"/>
      <c r="B698" s="197"/>
      <c r="C698" s="201"/>
      <c r="D698" s="202"/>
      <c r="E698" s="203"/>
      <c r="F698" s="204"/>
      <c r="G698" s="204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201"/>
      <c r="B699" s="197"/>
      <c r="C699" s="201"/>
      <c r="D699" s="202"/>
      <c r="E699" s="203"/>
      <c r="F699" s="204"/>
      <c r="G699" s="204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201"/>
      <c r="B700" s="197"/>
      <c r="C700" s="201"/>
      <c r="D700" s="202"/>
      <c r="E700" s="203"/>
      <c r="F700" s="204"/>
      <c r="G700" s="204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201"/>
      <c r="B701" s="197"/>
      <c r="C701" s="201"/>
      <c r="D701" s="202"/>
      <c r="E701" s="203"/>
      <c r="F701" s="204"/>
      <c r="G701" s="204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201"/>
      <c r="B702" s="197"/>
      <c r="C702" s="201"/>
      <c r="D702" s="202"/>
      <c r="E702" s="203"/>
      <c r="F702" s="204"/>
      <c r="G702" s="204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201"/>
      <c r="B703" s="197"/>
      <c r="C703" s="201"/>
      <c r="D703" s="202"/>
      <c r="E703" s="203"/>
      <c r="F703" s="204"/>
      <c r="G703" s="204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201"/>
      <c r="B704" s="197"/>
      <c r="C704" s="201"/>
      <c r="D704" s="202"/>
      <c r="E704" s="203"/>
      <c r="F704" s="204"/>
      <c r="G704" s="204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201"/>
      <c r="B705" s="197"/>
      <c r="C705" s="201"/>
      <c r="D705" s="202"/>
      <c r="E705" s="203"/>
      <c r="F705" s="204"/>
      <c r="G705" s="204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201"/>
      <c r="B706" s="197"/>
      <c r="C706" s="201"/>
      <c r="D706" s="202"/>
      <c r="E706" s="203"/>
      <c r="F706" s="204"/>
      <c r="G706" s="204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201"/>
      <c r="B707" s="197"/>
      <c r="C707" s="201"/>
      <c r="D707" s="202"/>
      <c r="E707" s="203"/>
      <c r="F707" s="204"/>
      <c r="G707" s="204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201"/>
      <c r="B708" s="197"/>
      <c r="C708" s="201"/>
      <c r="D708" s="202"/>
      <c r="E708" s="203"/>
      <c r="F708" s="204"/>
      <c r="G708" s="204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201"/>
      <c r="B709" s="197"/>
      <c r="C709" s="201"/>
      <c r="D709" s="202"/>
      <c r="E709" s="203"/>
      <c r="F709" s="204"/>
      <c r="G709" s="204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201"/>
      <c r="B710" s="197"/>
      <c r="C710" s="201"/>
      <c r="D710" s="202"/>
      <c r="E710" s="203"/>
      <c r="F710" s="204"/>
      <c r="G710" s="204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201"/>
      <c r="B711" s="197"/>
      <c r="C711" s="201"/>
      <c r="D711" s="202"/>
      <c r="E711" s="203"/>
      <c r="F711" s="204"/>
      <c r="G711" s="204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201"/>
      <c r="B712" s="197"/>
      <c r="C712" s="201"/>
      <c r="D712" s="202"/>
      <c r="E712" s="203"/>
      <c r="F712" s="204"/>
      <c r="G712" s="204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201"/>
      <c r="B713" s="197"/>
      <c r="C713" s="201"/>
      <c r="D713" s="202"/>
      <c r="E713" s="203"/>
      <c r="F713" s="204"/>
      <c r="G713" s="204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201"/>
      <c r="B714" s="197"/>
      <c r="C714" s="201"/>
      <c r="D714" s="202"/>
      <c r="E714" s="203"/>
      <c r="F714" s="204"/>
      <c r="G714" s="204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201"/>
      <c r="B715" s="197"/>
      <c r="C715" s="201"/>
      <c r="D715" s="202"/>
      <c r="E715" s="203"/>
      <c r="F715" s="204"/>
      <c r="G715" s="204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201"/>
      <c r="B716" s="197"/>
      <c r="C716" s="201"/>
      <c r="D716" s="202"/>
      <c r="E716" s="203"/>
      <c r="F716" s="204"/>
      <c r="G716" s="204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201"/>
      <c r="B717" s="197"/>
      <c r="C717" s="201"/>
      <c r="D717" s="202"/>
      <c r="E717" s="203"/>
      <c r="F717" s="204"/>
      <c r="G717" s="204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201"/>
      <c r="B718" s="197"/>
      <c r="C718" s="201"/>
      <c r="D718" s="202"/>
      <c r="E718" s="203"/>
      <c r="F718" s="204"/>
      <c r="G718" s="204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201"/>
      <c r="B719" s="197"/>
      <c r="C719" s="201"/>
      <c r="D719" s="202"/>
      <c r="E719" s="203"/>
      <c r="F719" s="204"/>
      <c r="G719" s="204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201"/>
      <c r="B720" s="197"/>
      <c r="C720" s="201"/>
      <c r="D720" s="202"/>
      <c r="E720" s="203"/>
      <c r="F720" s="204"/>
      <c r="G720" s="204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201"/>
      <c r="B721" s="197"/>
      <c r="C721" s="201"/>
      <c r="D721" s="202"/>
      <c r="E721" s="203"/>
      <c r="F721" s="204"/>
      <c r="G721" s="204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201"/>
      <c r="B722" s="197"/>
      <c r="C722" s="201"/>
      <c r="D722" s="202"/>
      <c r="E722" s="203"/>
      <c r="F722" s="204"/>
      <c r="G722" s="204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201"/>
      <c r="B723" s="197"/>
      <c r="C723" s="201"/>
      <c r="D723" s="202"/>
      <c r="E723" s="203"/>
      <c r="F723" s="204"/>
      <c r="G723" s="204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201"/>
      <c r="B724" s="197"/>
      <c r="C724" s="201"/>
      <c r="D724" s="202"/>
      <c r="E724" s="203"/>
      <c r="F724" s="204"/>
      <c r="G724" s="204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201"/>
      <c r="B725" s="197"/>
      <c r="C725" s="201"/>
      <c r="D725" s="202"/>
      <c r="E725" s="203"/>
      <c r="F725" s="204"/>
      <c r="G725" s="204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201"/>
      <c r="B726" s="197"/>
      <c r="C726" s="201"/>
      <c r="D726" s="202"/>
      <c r="E726" s="203"/>
      <c r="F726" s="204"/>
      <c r="G726" s="204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201"/>
      <c r="B727" s="197"/>
      <c r="C727" s="201"/>
      <c r="D727" s="202"/>
      <c r="E727" s="203"/>
      <c r="F727" s="204"/>
      <c r="G727" s="204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201"/>
      <c r="B728" s="197"/>
      <c r="C728" s="201"/>
      <c r="D728" s="202"/>
      <c r="E728" s="203"/>
      <c r="F728" s="204"/>
      <c r="G728" s="204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201"/>
      <c r="B729" s="197"/>
      <c r="C729" s="201"/>
      <c r="D729" s="202"/>
      <c r="E729" s="203"/>
      <c r="F729" s="204"/>
      <c r="G729" s="204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201"/>
      <c r="B730" s="197"/>
      <c r="C730" s="201"/>
      <c r="D730" s="202"/>
      <c r="E730" s="203"/>
      <c r="F730" s="204"/>
      <c r="G730" s="204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201"/>
      <c r="B731" s="197"/>
      <c r="C731" s="201"/>
      <c r="D731" s="202"/>
      <c r="E731" s="203"/>
      <c r="F731" s="204"/>
      <c r="G731" s="204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201"/>
      <c r="B732" s="197"/>
      <c r="C732" s="201"/>
      <c r="D732" s="202"/>
      <c r="E732" s="203"/>
      <c r="F732" s="204"/>
      <c r="G732" s="204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201"/>
      <c r="B733" s="197"/>
      <c r="C733" s="201"/>
      <c r="D733" s="202"/>
      <c r="E733" s="203"/>
      <c r="F733" s="204"/>
      <c r="G733" s="204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201"/>
      <c r="B734" s="197"/>
      <c r="C734" s="201"/>
      <c r="D734" s="202"/>
      <c r="E734" s="203"/>
      <c r="F734" s="204"/>
      <c r="G734" s="204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201"/>
      <c r="B735" s="197"/>
      <c r="C735" s="201"/>
      <c r="D735" s="202"/>
      <c r="E735" s="203"/>
      <c r="F735" s="204"/>
      <c r="G735" s="204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201"/>
      <c r="B736" s="197"/>
      <c r="C736" s="201"/>
      <c r="D736" s="202"/>
      <c r="E736" s="203"/>
      <c r="F736" s="204"/>
      <c r="G736" s="204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201"/>
      <c r="B737" s="197"/>
      <c r="C737" s="201"/>
      <c r="D737" s="202"/>
      <c r="E737" s="203"/>
      <c r="F737" s="204"/>
      <c r="G737" s="204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201"/>
      <c r="B738" s="197"/>
      <c r="C738" s="201"/>
      <c r="D738" s="202"/>
      <c r="E738" s="203"/>
      <c r="F738" s="204"/>
      <c r="G738" s="204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201"/>
      <c r="B739" s="197"/>
      <c r="C739" s="201"/>
      <c r="D739" s="202"/>
      <c r="E739" s="203"/>
      <c r="F739" s="204"/>
      <c r="G739" s="204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201"/>
      <c r="B740" s="197"/>
      <c r="C740" s="201"/>
      <c r="D740" s="202"/>
      <c r="E740" s="203"/>
      <c r="F740" s="204"/>
      <c r="G740" s="204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201"/>
      <c r="B741" s="197"/>
      <c r="C741" s="201"/>
      <c r="D741" s="202"/>
      <c r="E741" s="203"/>
      <c r="F741" s="204"/>
      <c r="G741" s="204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201"/>
      <c r="B742" s="197"/>
      <c r="C742" s="201"/>
      <c r="D742" s="202"/>
      <c r="E742" s="203"/>
      <c r="F742" s="204"/>
      <c r="G742" s="204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201"/>
      <c r="B743" s="197"/>
      <c r="C743" s="201"/>
      <c r="D743" s="202"/>
      <c r="E743" s="203"/>
      <c r="F743" s="204"/>
      <c r="G743" s="204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201"/>
      <c r="B744" s="197"/>
      <c r="C744" s="201"/>
      <c r="D744" s="202"/>
      <c r="E744" s="203"/>
      <c r="F744" s="204"/>
      <c r="G744" s="204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201"/>
      <c r="B745" s="197"/>
      <c r="C745" s="201"/>
      <c r="D745" s="202"/>
      <c r="E745" s="203"/>
      <c r="F745" s="204"/>
      <c r="G745" s="204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201"/>
      <c r="B746" s="197"/>
      <c r="C746" s="201"/>
      <c r="D746" s="202"/>
      <c r="E746" s="203"/>
      <c r="F746" s="204"/>
      <c r="G746" s="204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201"/>
      <c r="B747" s="197"/>
      <c r="C747" s="201"/>
      <c r="D747" s="202"/>
      <c r="E747" s="203"/>
      <c r="F747" s="204"/>
      <c r="G747" s="204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201"/>
      <c r="B748" s="197"/>
      <c r="C748" s="201"/>
      <c r="D748" s="202"/>
      <c r="E748" s="203"/>
      <c r="F748" s="204"/>
      <c r="G748" s="204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201"/>
      <c r="B749" s="197"/>
      <c r="C749" s="201"/>
      <c r="D749" s="202"/>
      <c r="E749" s="203"/>
      <c r="F749" s="204"/>
      <c r="G749" s="204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201"/>
      <c r="B750" s="197"/>
      <c r="C750" s="201"/>
      <c r="D750" s="202"/>
      <c r="E750" s="203"/>
      <c r="F750" s="204"/>
      <c r="G750" s="204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201"/>
      <c r="B751" s="197"/>
      <c r="C751" s="201"/>
      <c r="D751" s="202"/>
      <c r="E751" s="203"/>
      <c r="F751" s="204"/>
      <c r="G751" s="204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201"/>
      <c r="B752" s="197"/>
      <c r="C752" s="201"/>
      <c r="D752" s="202"/>
      <c r="E752" s="203"/>
      <c r="F752" s="204"/>
      <c r="G752" s="204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201"/>
      <c r="B753" s="197"/>
      <c r="C753" s="201"/>
      <c r="D753" s="202"/>
      <c r="E753" s="203"/>
      <c r="F753" s="204"/>
      <c r="G753" s="204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201"/>
      <c r="B754" s="197"/>
      <c r="C754" s="201"/>
      <c r="D754" s="202"/>
      <c r="E754" s="203"/>
      <c r="F754" s="204"/>
      <c r="G754" s="204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201"/>
      <c r="B755" s="197"/>
      <c r="C755" s="201"/>
      <c r="D755" s="202"/>
      <c r="E755" s="203"/>
      <c r="F755" s="204"/>
      <c r="G755" s="204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201"/>
      <c r="B756" s="197"/>
      <c r="C756" s="201"/>
      <c r="D756" s="202"/>
      <c r="E756" s="203"/>
      <c r="F756" s="204"/>
      <c r="G756" s="204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201"/>
      <c r="B757" s="197"/>
      <c r="C757" s="201"/>
      <c r="D757" s="202"/>
      <c r="E757" s="203"/>
      <c r="F757" s="204"/>
      <c r="G757" s="204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201"/>
      <c r="B758" s="197"/>
      <c r="C758" s="201"/>
      <c r="D758" s="202"/>
      <c r="E758" s="203"/>
      <c r="F758" s="204"/>
      <c r="G758" s="204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201"/>
      <c r="B759" s="197"/>
      <c r="C759" s="201"/>
      <c r="D759" s="202"/>
      <c r="E759" s="203"/>
      <c r="F759" s="204"/>
      <c r="G759" s="204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201"/>
      <c r="B760" s="197"/>
      <c r="C760" s="201"/>
      <c r="D760" s="202"/>
      <c r="E760" s="203"/>
      <c r="F760" s="204"/>
      <c r="G760" s="204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201"/>
      <c r="B761" s="197"/>
      <c r="C761" s="201"/>
      <c r="D761" s="202"/>
      <c r="E761" s="203"/>
      <c r="F761" s="204"/>
      <c r="G761" s="204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201"/>
      <c r="B762" s="197"/>
      <c r="C762" s="201"/>
      <c r="D762" s="202"/>
      <c r="E762" s="203"/>
      <c r="F762" s="204"/>
      <c r="G762" s="204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201"/>
      <c r="B763" s="197"/>
      <c r="C763" s="201"/>
      <c r="D763" s="202"/>
      <c r="E763" s="203"/>
      <c r="F763" s="204"/>
      <c r="G763" s="204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201"/>
      <c r="B764" s="197"/>
      <c r="C764" s="201"/>
      <c r="D764" s="202"/>
      <c r="E764" s="203"/>
      <c r="F764" s="204"/>
      <c r="G764" s="204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201"/>
      <c r="B765" s="197"/>
      <c r="C765" s="201"/>
      <c r="D765" s="202"/>
      <c r="E765" s="203"/>
      <c r="F765" s="204"/>
      <c r="G765" s="204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201"/>
      <c r="B766" s="197"/>
      <c r="C766" s="201"/>
      <c r="D766" s="202"/>
      <c r="E766" s="203"/>
      <c r="F766" s="204"/>
      <c r="G766" s="204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201"/>
      <c r="B767" s="197"/>
      <c r="C767" s="201"/>
      <c r="D767" s="202"/>
      <c r="E767" s="203"/>
      <c r="F767" s="204"/>
      <c r="G767" s="204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201"/>
      <c r="B768" s="197"/>
      <c r="C768" s="201"/>
      <c r="D768" s="202"/>
      <c r="E768" s="203"/>
      <c r="F768" s="204"/>
      <c r="G768" s="204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201"/>
      <c r="B769" s="197"/>
      <c r="C769" s="201"/>
      <c r="D769" s="202"/>
      <c r="E769" s="203"/>
      <c r="F769" s="204"/>
      <c r="G769" s="204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201"/>
      <c r="B770" s="197"/>
      <c r="C770" s="201"/>
      <c r="D770" s="202"/>
      <c r="E770" s="203"/>
      <c r="F770" s="204"/>
      <c r="G770" s="204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201"/>
      <c r="B771" s="197"/>
      <c r="C771" s="201"/>
      <c r="D771" s="202"/>
      <c r="E771" s="203"/>
      <c r="F771" s="204"/>
      <c r="G771" s="204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201"/>
      <c r="B772" s="197"/>
      <c r="C772" s="201"/>
      <c r="D772" s="202"/>
      <c r="E772" s="203"/>
      <c r="F772" s="204"/>
      <c r="G772" s="204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201"/>
      <c r="B773" s="197"/>
      <c r="C773" s="201"/>
      <c r="D773" s="202"/>
      <c r="E773" s="203"/>
      <c r="F773" s="204"/>
      <c r="G773" s="204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201"/>
      <c r="B774" s="197"/>
      <c r="C774" s="201"/>
      <c r="D774" s="202"/>
      <c r="E774" s="203"/>
      <c r="F774" s="204"/>
      <c r="G774" s="204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201"/>
      <c r="B775" s="197"/>
      <c r="C775" s="201"/>
      <c r="D775" s="202"/>
      <c r="E775" s="203"/>
      <c r="F775" s="204"/>
      <c r="G775" s="204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201"/>
      <c r="B776" s="197"/>
      <c r="C776" s="201"/>
      <c r="D776" s="202"/>
      <c r="E776" s="203"/>
      <c r="F776" s="204"/>
      <c r="G776" s="204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201"/>
      <c r="B777" s="197"/>
      <c r="C777" s="201"/>
      <c r="D777" s="202"/>
      <c r="E777" s="203"/>
      <c r="F777" s="204"/>
      <c r="G777" s="204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201"/>
      <c r="B778" s="197"/>
      <c r="C778" s="201"/>
      <c r="D778" s="202"/>
      <c r="E778" s="203"/>
      <c r="F778" s="204"/>
      <c r="G778" s="204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201"/>
      <c r="B779" s="197"/>
      <c r="C779" s="201"/>
      <c r="D779" s="202"/>
      <c r="E779" s="203"/>
      <c r="F779" s="204"/>
      <c r="G779" s="204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201"/>
      <c r="B780" s="197"/>
      <c r="C780" s="201"/>
      <c r="D780" s="202"/>
      <c r="E780" s="203"/>
      <c r="F780" s="204"/>
      <c r="G780" s="204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201"/>
      <c r="B781" s="197"/>
      <c r="C781" s="201"/>
      <c r="D781" s="202"/>
      <c r="E781" s="203"/>
      <c r="F781" s="204"/>
      <c r="G781" s="204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201"/>
      <c r="B782" s="197"/>
      <c r="C782" s="201"/>
      <c r="D782" s="202"/>
      <c r="E782" s="203"/>
      <c r="F782" s="204"/>
      <c r="G782" s="204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201"/>
      <c r="B783" s="197"/>
      <c r="C783" s="201"/>
      <c r="D783" s="202"/>
      <c r="E783" s="203"/>
      <c r="F783" s="204"/>
      <c r="G783" s="204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201"/>
      <c r="B784" s="197"/>
      <c r="C784" s="201"/>
      <c r="D784" s="202"/>
      <c r="E784" s="203"/>
      <c r="F784" s="204"/>
      <c r="G784" s="204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201"/>
      <c r="B785" s="197"/>
      <c r="C785" s="201"/>
      <c r="D785" s="202"/>
      <c r="E785" s="203"/>
      <c r="F785" s="204"/>
      <c r="G785" s="204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201"/>
      <c r="B786" s="197"/>
      <c r="C786" s="201"/>
      <c r="D786" s="202"/>
      <c r="E786" s="203"/>
      <c r="F786" s="204"/>
      <c r="G786" s="204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201"/>
      <c r="B787" s="197"/>
      <c r="C787" s="201"/>
      <c r="D787" s="202"/>
      <c r="E787" s="203"/>
      <c r="F787" s="204"/>
      <c r="G787" s="204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201"/>
      <c r="B788" s="197"/>
      <c r="C788" s="201"/>
      <c r="D788" s="202"/>
      <c r="E788" s="203"/>
      <c r="F788" s="204"/>
      <c r="G788" s="204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201"/>
      <c r="B789" s="197"/>
      <c r="C789" s="201"/>
      <c r="D789" s="202"/>
      <c r="E789" s="203"/>
      <c r="F789" s="204"/>
      <c r="G789" s="204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201"/>
      <c r="B790" s="197"/>
      <c r="C790" s="201"/>
      <c r="D790" s="202"/>
      <c r="E790" s="203"/>
      <c r="F790" s="204"/>
      <c r="G790" s="204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201"/>
      <c r="B791" s="197"/>
      <c r="C791" s="201"/>
      <c r="D791" s="202"/>
      <c r="E791" s="203"/>
      <c r="F791" s="204"/>
      <c r="G791" s="204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201"/>
      <c r="B792" s="197"/>
      <c r="C792" s="201"/>
      <c r="D792" s="202"/>
      <c r="E792" s="203"/>
      <c r="F792" s="204"/>
      <c r="G792" s="204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201"/>
      <c r="B793" s="197"/>
      <c r="C793" s="201"/>
      <c r="D793" s="202"/>
      <c r="E793" s="203"/>
      <c r="F793" s="204"/>
      <c r="G793" s="204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201"/>
      <c r="B794" s="197"/>
      <c r="C794" s="201"/>
      <c r="D794" s="202"/>
      <c r="E794" s="203"/>
      <c r="F794" s="204"/>
      <c r="G794" s="204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201"/>
      <c r="B795" s="197"/>
      <c r="C795" s="201"/>
      <c r="D795" s="202"/>
      <c r="E795" s="203"/>
      <c r="F795" s="204"/>
      <c r="G795" s="204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201"/>
      <c r="B796" s="197"/>
      <c r="C796" s="201"/>
      <c r="D796" s="202"/>
      <c r="E796" s="203"/>
      <c r="F796" s="204"/>
      <c r="G796" s="204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201"/>
      <c r="B797" s="197"/>
      <c r="C797" s="201"/>
      <c r="D797" s="202"/>
      <c r="E797" s="203"/>
      <c r="F797" s="204"/>
      <c r="G797" s="204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201"/>
      <c r="B798" s="197"/>
      <c r="C798" s="201"/>
      <c r="D798" s="202"/>
      <c r="E798" s="203"/>
      <c r="F798" s="204"/>
      <c r="G798" s="204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201"/>
      <c r="B799" s="197"/>
      <c r="C799" s="201"/>
      <c r="D799" s="202"/>
      <c r="E799" s="203"/>
      <c r="F799" s="204"/>
      <c r="G799" s="204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201"/>
      <c r="B800" s="197"/>
      <c r="C800" s="201"/>
      <c r="D800" s="202"/>
      <c r="E800" s="203"/>
      <c r="F800" s="204"/>
      <c r="G800" s="204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201"/>
      <c r="B801" s="197"/>
      <c r="C801" s="201"/>
      <c r="D801" s="202"/>
      <c r="E801" s="203"/>
      <c r="F801" s="204"/>
      <c r="G801" s="204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201"/>
      <c r="B802" s="197"/>
      <c r="C802" s="201"/>
      <c r="D802" s="202"/>
      <c r="E802" s="203"/>
      <c r="F802" s="204"/>
      <c r="G802" s="204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201"/>
      <c r="B803" s="197"/>
      <c r="C803" s="201"/>
      <c r="D803" s="202"/>
      <c r="E803" s="203"/>
      <c r="F803" s="204"/>
      <c r="G803" s="204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201"/>
      <c r="B804" s="197"/>
      <c r="C804" s="201"/>
      <c r="D804" s="202"/>
      <c r="E804" s="203"/>
      <c r="F804" s="204"/>
      <c r="G804" s="204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201"/>
      <c r="B805" s="197"/>
      <c r="C805" s="201"/>
      <c r="D805" s="202"/>
      <c r="E805" s="203"/>
      <c r="F805" s="204"/>
      <c r="G805" s="204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201"/>
      <c r="B806" s="197"/>
      <c r="C806" s="201"/>
      <c r="D806" s="202"/>
      <c r="E806" s="203"/>
      <c r="F806" s="204"/>
      <c r="G806" s="204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201"/>
      <c r="B807" s="197"/>
      <c r="C807" s="201"/>
      <c r="D807" s="202"/>
      <c r="E807" s="203"/>
      <c r="F807" s="204"/>
      <c r="G807" s="204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201"/>
      <c r="B808" s="197"/>
      <c r="C808" s="201"/>
      <c r="D808" s="202"/>
      <c r="E808" s="203"/>
      <c r="F808" s="204"/>
      <c r="G808" s="204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201"/>
      <c r="B809" s="197"/>
      <c r="C809" s="201"/>
      <c r="D809" s="202"/>
      <c r="E809" s="203"/>
      <c r="F809" s="204"/>
      <c r="G809" s="204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201"/>
      <c r="B810" s="197"/>
      <c r="C810" s="201"/>
      <c r="D810" s="202"/>
      <c r="E810" s="203"/>
      <c r="F810" s="204"/>
      <c r="G810" s="204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201"/>
      <c r="B811" s="197"/>
      <c r="C811" s="201"/>
      <c r="D811" s="202"/>
      <c r="E811" s="203"/>
      <c r="F811" s="204"/>
      <c r="G811" s="204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201"/>
      <c r="B812" s="197"/>
      <c r="C812" s="201"/>
      <c r="D812" s="202"/>
      <c r="E812" s="203"/>
      <c r="F812" s="204"/>
      <c r="G812" s="204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201"/>
      <c r="B813" s="197"/>
      <c r="C813" s="201"/>
      <c r="D813" s="202"/>
      <c r="E813" s="203"/>
      <c r="F813" s="204"/>
      <c r="G813" s="204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201"/>
      <c r="B814" s="197"/>
      <c r="C814" s="201"/>
      <c r="D814" s="202"/>
      <c r="E814" s="203"/>
      <c r="F814" s="204"/>
      <c r="G814" s="204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201"/>
      <c r="B815" s="197"/>
      <c r="C815" s="201"/>
      <c r="D815" s="202"/>
      <c r="E815" s="203"/>
      <c r="F815" s="204"/>
      <c r="G815" s="204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201"/>
      <c r="B816" s="197"/>
      <c r="C816" s="201"/>
      <c r="D816" s="202"/>
      <c r="E816" s="203"/>
      <c r="F816" s="204"/>
      <c r="G816" s="204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201"/>
      <c r="B817" s="197"/>
      <c r="C817" s="201"/>
      <c r="D817" s="202"/>
      <c r="E817" s="203"/>
      <c r="F817" s="204"/>
      <c r="G817" s="204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201"/>
      <c r="B818" s="197"/>
      <c r="C818" s="201"/>
      <c r="D818" s="202"/>
      <c r="E818" s="203"/>
      <c r="F818" s="204"/>
      <c r="G818" s="204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201"/>
      <c r="B819" s="197"/>
      <c r="C819" s="201"/>
      <c r="D819" s="202"/>
      <c r="E819" s="203"/>
      <c r="F819" s="204"/>
      <c r="G819" s="204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201"/>
      <c r="B820" s="197"/>
      <c r="C820" s="201"/>
      <c r="D820" s="202"/>
      <c r="E820" s="203"/>
      <c r="F820" s="204"/>
      <c r="G820" s="204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201"/>
      <c r="B821" s="197"/>
      <c r="C821" s="201"/>
      <c r="D821" s="202"/>
      <c r="E821" s="203"/>
      <c r="F821" s="204"/>
      <c r="G821" s="204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201"/>
      <c r="B822" s="197"/>
      <c r="C822" s="201"/>
      <c r="D822" s="202"/>
      <c r="E822" s="203"/>
      <c r="F822" s="204"/>
      <c r="G822" s="204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201"/>
      <c r="B823" s="197"/>
      <c r="C823" s="201"/>
      <c r="D823" s="202"/>
      <c r="E823" s="203"/>
      <c r="F823" s="204"/>
      <c r="G823" s="204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201"/>
      <c r="B824" s="197"/>
      <c r="C824" s="201"/>
      <c r="D824" s="202"/>
      <c r="E824" s="203"/>
      <c r="F824" s="204"/>
      <c r="G824" s="204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201"/>
      <c r="B825" s="197"/>
      <c r="C825" s="201"/>
      <c r="D825" s="202"/>
      <c r="E825" s="203"/>
      <c r="F825" s="204"/>
      <c r="G825" s="204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201"/>
      <c r="B826" s="197"/>
      <c r="C826" s="201"/>
      <c r="D826" s="202"/>
      <c r="E826" s="203"/>
      <c r="F826" s="204"/>
      <c r="G826" s="204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201"/>
      <c r="B827" s="197"/>
      <c r="C827" s="201"/>
      <c r="D827" s="202"/>
      <c r="E827" s="203"/>
      <c r="F827" s="204"/>
      <c r="G827" s="204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201"/>
      <c r="B828" s="197"/>
      <c r="C828" s="201"/>
      <c r="D828" s="202"/>
      <c r="E828" s="203"/>
      <c r="F828" s="204"/>
      <c r="G828" s="204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201"/>
      <c r="B829" s="197"/>
      <c r="C829" s="201"/>
      <c r="D829" s="202"/>
      <c r="E829" s="203"/>
      <c r="F829" s="204"/>
      <c r="G829" s="204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201"/>
      <c r="B830" s="197"/>
      <c r="C830" s="201"/>
      <c r="D830" s="202"/>
      <c r="E830" s="203"/>
      <c r="F830" s="204"/>
      <c r="G830" s="204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201"/>
      <c r="B831" s="197"/>
      <c r="C831" s="201"/>
      <c r="D831" s="202"/>
      <c r="E831" s="203"/>
      <c r="F831" s="204"/>
      <c r="G831" s="204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201"/>
      <c r="B832" s="197"/>
      <c r="C832" s="201"/>
      <c r="D832" s="202"/>
      <c r="E832" s="203"/>
      <c r="F832" s="204"/>
      <c r="G832" s="204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201"/>
      <c r="B833" s="197"/>
      <c r="C833" s="201"/>
      <c r="D833" s="202"/>
      <c r="E833" s="203"/>
      <c r="F833" s="204"/>
      <c r="G833" s="204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201"/>
      <c r="B834" s="197"/>
      <c r="C834" s="201"/>
      <c r="D834" s="202"/>
      <c r="E834" s="203"/>
      <c r="F834" s="204"/>
      <c r="G834" s="204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201"/>
      <c r="B835" s="197"/>
      <c r="C835" s="201"/>
      <c r="D835" s="202"/>
      <c r="E835" s="203"/>
      <c r="F835" s="204"/>
      <c r="G835" s="204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201"/>
      <c r="B836" s="197"/>
      <c r="C836" s="201"/>
      <c r="D836" s="202"/>
      <c r="E836" s="203"/>
      <c r="F836" s="204"/>
      <c r="G836" s="204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201"/>
      <c r="B837" s="197"/>
      <c r="C837" s="201"/>
      <c r="D837" s="202"/>
      <c r="E837" s="203"/>
      <c r="F837" s="204"/>
      <c r="G837" s="204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201"/>
      <c r="B838" s="197"/>
      <c r="C838" s="201"/>
      <c r="D838" s="202"/>
      <c r="E838" s="203"/>
      <c r="F838" s="204"/>
      <c r="G838" s="204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201"/>
      <c r="B839" s="197"/>
      <c r="C839" s="201"/>
      <c r="D839" s="202"/>
      <c r="E839" s="203"/>
      <c r="F839" s="204"/>
      <c r="G839" s="204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201"/>
      <c r="B840" s="197"/>
      <c r="C840" s="201"/>
      <c r="D840" s="202"/>
      <c r="E840" s="203"/>
      <c r="F840" s="204"/>
      <c r="G840" s="204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201"/>
      <c r="B841" s="197"/>
      <c r="C841" s="201"/>
      <c r="D841" s="202"/>
      <c r="E841" s="203"/>
      <c r="F841" s="204"/>
      <c r="G841" s="204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201"/>
      <c r="B842" s="197"/>
      <c r="C842" s="201"/>
      <c r="D842" s="202"/>
      <c r="E842" s="203"/>
      <c r="F842" s="204"/>
      <c r="G842" s="204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201"/>
      <c r="B843" s="197"/>
      <c r="C843" s="201"/>
      <c r="D843" s="202"/>
      <c r="E843" s="203"/>
      <c r="F843" s="204"/>
      <c r="G843" s="204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201"/>
      <c r="B844" s="197"/>
      <c r="C844" s="201"/>
      <c r="D844" s="202"/>
      <c r="E844" s="203"/>
      <c r="F844" s="204"/>
      <c r="G844" s="204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201"/>
      <c r="B845" s="197"/>
      <c r="C845" s="201"/>
      <c r="D845" s="202"/>
      <c r="E845" s="203"/>
      <c r="F845" s="204"/>
      <c r="G845" s="204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201"/>
      <c r="B846" s="197"/>
      <c r="C846" s="201"/>
      <c r="D846" s="202"/>
      <c r="E846" s="203"/>
      <c r="F846" s="204"/>
      <c r="G846" s="204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201"/>
      <c r="B847" s="197"/>
      <c r="C847" s="201"/>
      <c r="D847" s="202"/>
      <c r="E847" s="203"/>
      <c r="F847" s="204"/>
      <c r="G847" s="204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201"/>
      <c r="B848" s="197"/>
      <c r="C848" s="201"/>
      <c r="D848" s="202"/>
      <c r="E848" s="203"/>
      <c r="F848" s="204"/>
      <c r="G848" s="204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201"/>
      <c r="B849" s="197"/>
      <c r="C849" s="201"/>
      <c r="D849" s="202"/>
      <c r="E849" s="203"/>
      <c r="F849" s="204"/>
      <c r="G849" s="204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201"/>
      <c r="B850" s="197"/>
      <c r="C850" s="201"/>
      <c r="D850" s="202"/>
      <c r="E850" s="203"/>
      <c r="F850" s="204"/>
      <c r="G850" s="204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201"/>
      <c r="B851" s="197"/>
      <c r="C851" s="201"/>
      <c r="D851" s="202"/>
      <c r="E851" s="203"/>
      <c r="F851" s="204"/>
      <c r="G851" s="204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201"/>
      <c r="B852" s="197"/>
      <c r="C852" s="201"/>
      <c r="D852" s="202"/>
      <c r="E852" s="203"/>
      <c r="F852" s="204"/>
      <c r="G852" s="204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201"/>
      <c r="B853" s="197"/>
      <c r="C853" s="201"/>
      <c r="D853" s="202"/>
      <c r="E853" s="203"/>
      <c r="F853" s="204"/>
      <c r="G853" s="204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201"/>
      <c r="B854" s="197"/>
      <c r="C854" s="201"/>
      <c r="D854" s="202"/>
      <c r="E854" s="203"/>
      <c r="F854" s="204"/>
      <c r="G854" s="204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201"/>
      <c r="B855" s="197"/>
      <c r="C855" s="201"/>
      <c r="D855" s="202"/>
      <c r="E855" s="203"/>
      <c r="F855" s="204"/>
      <c r="G855" s="204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201"/>
      <c r="B856" s="197"/>
      <c r="C856" s="201"/>
      <c r="D856" s="202"/>
      <c r="E856" s="203"/>
      <c r="F856" s="204"/>
      <c r="G856" s="204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201"/>
      <c r="B857" s="197"/>
      <c r="C857" s="201"/>
      <c r="D857" s="202"/>
      <c r="E857" s="203"/>
      <c r="F857" s="204"/>
      <c r="G857" s="204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201"/>
      <c r="B858" s="197"/>
      <c r="C858" s="201"/>
      <c r="D858" s="202"/>
      <c r="E858" s="203"/>
      <c r="F858" s="204"/>
      <c r="G858" s="204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201"/>
      <c r="B859" s="197"/>
      <c r="C859" s="201"/>
      <c r="D859" s="202"/>
      <c r="E859" s="203"/>
      <c r="F859" s="204"/>
      <c r="G859" s="204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201"/>
      <c r="B860" s="197"/>
      <c r="C860" s="201"/>
      <c r="D860" s="202"/>
      <c r="E860" s="203"/>
      <c r="F860" s="204"/>
      <c r="G860" s="204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201"/>
      <c r="B861" s="197"/>
      <c r="C861" s="201"/>
      <c r="D861" s="202"/>
      <c r="E861" s="203"/>
      <c r="F861" s="204"/>
      <c r="G861" s="204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201"/>
      <c r="B862" s="197"/>
      <c r="C862" s="201"/>
      <c r="D862" s="202"/>
      <c r="E862" s="203"/>
      <c r="F862" s="204"/>
      <c r="G862" s="204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201"/>
      <c r="B863" s="197"/>
      <c r="C863" s="201"/>
      <c r="D863" s="202"/>
      <c r="E863" s="203"/>
      <c r="F863" s="204"/>
      <c r="G863" s="204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201"/>
      <c r="B864" s="197"/>
      <c r="C864" s="201"/>
      <c r="D864" s="202"/>
      <c r="E864" s="203"/>
      <c r="F864" s="204"/>
      <c r="G864" s="204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201"/>
      <c r="B865" s="197"/>
      <c r="C865" s="201"/>
      <c r="D865" s="202"/>
      <c r="E865" s="203"/>
      <c r="F865" s="204"/>
      <c r="G865" s="204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201"/>
      <c r="B866" s="197"/>
      <c r="C866" s="201"/>
      <c r="D866" s="202"/>
      <c r="E866" s="203"/>
      <c r="F866" s="204"/>
      <c r="G866" s="204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201"/>
      <c r="B867" s="197"/>
      <c r="C867" s="201"/>
      <c r="D867" s="202"/>
      <c r="E867" s="203"/>
      <c r="F867" s="204"/>
      <c r="G867" s="204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201"/>
      <c r="B868" s="197"/>
      <c r="C868" s="201"/>
      <c r="D868" s="202"/>
      <c r="E868" s="203"/>
      <c r="F868" s="204"/>
      <c r="G868" s="204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201"/>
      <c r="B869" s="197"/>
      <c r="C869" s="201"/>
      <c r="D869" s="202"/>
      <c r="E869" s="203"/>
      <c r="F869" s="204"/>
      <c r="G869" s="204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201"/>
      <c r="B870" s="197"/>
      <c r="C870" s="201"/>
      <c r="D870" s="202"/>
      <c r="E870" s="203"/>
      <c r="F870" s="204"/>
      <c r="G870" s="204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201"/>
      <c r="B871" s="197"/>
      <c r="C871" s="201"/>
      <c r="D871" s="202"/>
      <c r="E871" s="203"/>
      <c r="F871" s="204"/>
      <c r="G871" s="204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201"/>
      <c r="B872" s="197"/>
      <c r="C872" s="201"/>
      <c r="D872" s="202"/>
      <c r="E872" s="203"/>
      <c r="F872" s="204"/>
      <c r="G872" s="204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201"/>
      <c r="B873" s="197"/>
      <c r="C873" s="201"/>
      <c r="D873" s="202"/>
      <c r="E873" s="203"/>
      <c r="F873" s="204"/>
      <c r="G873" s="204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201"/>
      <c r="B874" s="197"/>
      <c r="C874" s="201"/>
      <c r="D874" s="202"/>
      <c r="E874" s="203"/>
      <c r="F874" s="204"/>
      <c r="G874" s="204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201"/>
      <c r="B875" s="197"/>
      <c r="C875" s="201"/>
      <c r="D875" s="202"/>
      <c r="E875" s="203"/>
      <c r="F875" s="204"/>
      <c r="G875" s="204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201"/>
      <c r="B876" s="197"/>
      <c r="C876" s="201"/>
      <c r="D876" s="202"/>
      <c r="E876" s="203"/>
      <c r="F876" s="204"/>
      <c r="G876" s="204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201"/>
      <c r="B877" s="197"/>
      <c r="C877" s="201"/>
      <c r="D877" s="202"/>
      <c r="E877" s="203"/>
      <c r="F877" s="204"/>
      <c r="G877" s="204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201"/>
      <c r="B878" s="197"/>
      <c r="C878" s="201"/>
      <c r="D878" s="202"/>
      <c r="E878" s="203"/>
      <c r="F878" s="204"/>
      <c r="G878" s="204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201"/>
      <c r="B879" s="197"/>
      <c r="C879" s="201"/>
      <c r="D879" s="202"/>
      <c r="E879" s="203"/>
      <c r="F879" s="204"/>
      <c r="G879" s="204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201"/>
      <c r="B880" s="197"/>
      <c r="C880" s="201"/>
      <c r="D880" s="202"/>
      <c r="E880" s="203"/>
      <c r="F880" s="204"/>
      <c r="G880" s="204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201"/>
      <c r="B881" s="197"/>
      <c r="C881" s="201"/>
      <c r="D881" s="202"/>
      <c r="E881" s="203"/>
      <c r="F881" s="204"/>
      <c r="G881" s="204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201"/>
      <c r="B882" s="197"/>
      <c r="C882" s="201"/>
      <c r="D882" s="202"/>
      <c r="E882" s="203"/>
      <c r="F882" s="204"/>
      <c r="G882" s="204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201"/>
      <c r="B883" s="197"/>
      <c r="C883" s="201"/>
      <c r="D883" s="202"/>
      <c r="E883" s="203"/>
      <c r="F883" s="204"/>
      <c r="G883" s="204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201"/>
      <c r="B884" s="197"/>
      <c r="C884" s="201"/>
      <c r="D884" s="202"/>
      <c r="E884" s="203"/>
      <c r="F884" s="204"/>
      <c r="G884" s="204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201"/>
      <c r="B885" s="197"/>
      <c r="C885" s="201"/>
      <c r="D885" s="202"/>
      <c r="E885" s="203"/>
      <c r="F885" s="204"/>
      <c r="G885" s="204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201"/>
      <c r="B886" s="197"/>
      <c r="C886" s="201"/>
      <c r="D886" s="202"/>
      <c r="E886" s="203"/>
      <c r="F886" s="204"/>
      <c r="G886" s="204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201"/>
      <c r="B887" s="197"/>
      <c r="C887" s="201"/>
      <c r="D887" s="202"/>
      <c r="E887" s="203"/>
      <c r="F887" s="204"/>
      <c r="G887" s="204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201"/>
      <c r="B888" s="197"/>
      <c r="C888" s="201"/>
      <c r="D888" s="202"/>
      <c r="E888" s="203"/>
      <c r="F888" s="204"/>
      <c r="G888" s="204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201"/>
      <c r="B889" s="197"/>
      <c r="C889" s="201"/>
      <c r="D889" s="202"/>
      <c r="E889" s="203"/>
      <c r="F889" s="204"/>
      <c r="G889" s="204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201"/>
      <c r="B890" s="197"/>
      <c r="C890" s="201"/>
      <c r="D890" s="202"/>
      <c r="E890" s="203"/>
      <c r="F890" s="204"/>
      <c r="G890" s="204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201"/>
      <c r="B891" s="197"/>
      <c r="C891" s="201"/>
      <c r="D891" s="202"/>
      <c r="E891" s="203"/>
      <c r="F891" s="204"/>
      <c r="G891" s="204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201"/>
      <c r="B892" s="197"/>
      <c r="C892" s="201"/>
      <c r="D892" s="202"/>
      <c r="E892" s="203"/>
      <c r="F892" s="204"/>
      <c r="G892" s="204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201"/>
      <c r="B893" s="197"/>
      <c r="C893" s="201"/>
      <c r="D893" s="202"/>
      <c r="E893" s="203"/>
      <c r="F893" s="204"/>
      <c r="G893" s="204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201"/>
      <c r="B894" s="197"/>
      <c r="C894" s="201"/>
      <c r="D894" s="202"/>
      <c r="E894" s="203"/>
      <c r="F894" s="204"/>
      <c r="G894" s="204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201"/>
      <c r="B895" s="197"/>
      <c r="C895" s="201"/>
      <c r="D895" s="202"/>
      <c r="E895" s="203"/>
      <c r="F895" s="204"/>
      <c r="G895" s="204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201"/>
      <c r="B896" s="197"/>
      <c r="C896" s="201"/>
      <c r="D896" s="202"/>
      <c r="E896" s="203"/>
      <c r="F896" s="204"/>
      <c r="G896" s="204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201"/>
      <c r="B897" s="197"/>
      <c r="C897" s="201"/>
      <c r="D897" s="202"/>
      <c r="E897" s="203"/>
      <c r="F897" s="204"/>
      <c r="G897" s="204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201"/>
      <c r="B898" s="197"/>
      <c r="C898" s="201"/>
      <c r="D898" s="202"/>
      <c r="E898" s="203"/>
      <c r="F898" s="204"/>
      <c r="G898" s="204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201"/>
      <c r="B899" s="197"/>
      <c r="C899" s="201"/>
      <c r="D899" s="202"/>
      <c r="E899" s="203"/>
      <c r="F899" s="204"/>
      <c r="G899" s="204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201"/>
      <c r="B900" s="197"/>
      <c r="C900" s="201"/>
      <c r="D900" s="202"/>
      <c r="E900" s="203"/>
      <c r="F900" s="204"/>
      <c r="G900" s="204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201"/>
      <c r="B901" s="197"/>
      <c r="C901" s="201"/>
      <c r="D901" s="202"/>
      <c r="E901" s="203"/>
      <c r="F901" s="204"/>
      <c r="G901" s="204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201"/>
      <c r="B902" s="197"/>
      <c r="C902" s="201"/>
      <c r="D902" s="202"/>
      <c r="E902" s="203"/>
      <c r="F902" s="204"/>
      <c r="G902" s="204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201"/>
      <c r="B903" s="197"/>
      <c r="C903" s="201"/>
      <c r="D903" s="202"/>
      <c r="E903" s="203"/>
      <c r="F903" s="204"/>
      <c r="G903" s="204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201"/>
      <c r="B904" s="197"/>
      <c r="C904" s="201"/>
      <c r="D904" s="202"/>
      <c r="E904" s="203"/>
      <c r="F904" s="204"/>
      <c r="G904" s="204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201"/>
      <c r="B905" s="197"/>
      <c r="C905" s="201"/>
      <c r="D905" s="202"/>
      <c r="E905" s="203"/>
      <c r="F905" s="204"/>
      <c r="G905" s="204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201"/>
      <c r="B906" s="197"/>
      <c r="C906" s="201"/>
      <c r="D906" s="202"/>
      <c r="E906" s="203"/>
      <c r="F906" s="204"/>
      <c r="G906" s="204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201"/>
      <c r="B907" s="197"/>
      <c r="C907" s="201"/>
      <c r="D907" s="202"/>
      <c r="E907" s="203"/>
      <c r="F907" s="204"/>
      <c r="G907" s="204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201"/>
      <c r="B908" s="197"/>
      <c r="C908" s="201"/>
      <c r="D908" s="202"/>
      <c r="E908" s="203"/>
      <c r="F908" s="204"/>
      <c r="G908" s="204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201"/>
      <c r="B909" s="197"/>
      <c r="C909" s="201"/>
      <c r="D909" s="202"/>
      <c r="E909" s="203"/>
      <c r="F909" s="204"/>
      <c r="G909" s="204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201"/>
      <c r="B910" s="197"/>
      <c r="C910" s="201"/>
      <c r="D910" s="202"/>
      <c r="E910" s="203"/>
      <c r="F910" s="204"/>
      <c r="G910" s="204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201"/>
      <c r="B911" s="197"/>
      <c r="C911" s="201"/>
      <c r="D911" s="202"/>
      <c r="E911" s="203"/>
      <c r="F911" s="204"/>
      <c r="G911" s="204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201"/>
      <c r="B912" s="197"/>
      <c r="C912" s="201"/>
      <c r="D912" s="202"/>
      <c r="E912" s="203"/>
      <c r="F912" s="204"/>
      <c r="G912" s="204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201"/>
      <c r="B913" s="197"/>
      <c r="C913" s="201"/>
      <c r="D913" s="202"/>
      <c r="E913" s="203"/>
      <c r="F913" s="204"/>
      <c r="G913" s="204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201"/>
      <c r="B914" s="197"/>
      <c r="C914" s="201"/>
      <c r="D914" s="202"/>
      <c r="E914" s="203"/>
      <c r="F914" s="204"/>
      <c r="G914" s="204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201"/>
      <c r="B915" s="197"/>
      <c r="C915" s="201"/>
      <c r="D915" s="202"/>
      <c r="E915" s="203"/>
      <c r="F915" s="204"/>
      <c r="G915" s="204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201"/>
      <c r="B916" s="197"/>
      <c r="C916" s="201"/>
      <c r="D916" s="202"/>
      <c r="E916" s="203"/>
      <c r="F916" s="204"/>
      <c r="G916" s="204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201"/>
      <c r="B917" s="197"/>
      <c r="C917" s="201"/>
      <c r="D917" s="202"/>
      <c r="E917" s="203"/>
      <c r="F917" s="204"/>
      <c r="G917" s="204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201"/>
      <c r="B918" s="197"/>
      <c r="C918" s="201"/>
      <c r="D918" s="202"/>
      <c r="E918" s="203"/>
      <c r="F918" s="204"/>
      <c r="G918" s="204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201"/>
      <c r="B919" s="197"/>
      <c r="C919" s="201"/>
      <c r="D919" s="202"/>
      <c r="E919" s="203"/>
      <c r="F919" s="204"/>
      <c r="G919" s="204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201"/>
      <c r="B920" s="197"/>
      <c r="C920" s="201"/>
      <c r="D920" s="202"/>
      <c r="E920" s="203"/>
      <c r="F920" s="204"/>
      <c r="G920" s="204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201"/>
      <c r="B921" s="197"/>
      <c r="C921" s="201"/>
      <c r="D921" s="202"/>
      <c r="E921" s="203"/>
      <c r="F921" s="204"/>
      <c r="G921" s="204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201"/>
      <c r="B922" s="197"/>
      <c r="C922" s="201"/>
      <c r="D922" s="202"/>
      <c r="E922" s="203"/>
      <c r="F922" s="204"/>
      <c r="G922" s="204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201"/>
      <c r="B923" s="197"/>
      <c r="C923" s="201"/>
      <c r="D923" s="202"/>
      <c r="E923" s="203"/>
      <c r="F923" s="204"/>
      <c r="G923" s="204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201"/>
      <c r="B924" s="197"/>
      <c r="C924" s="201"/>
      <c r="D924" s="202"/>
      <c r="E924" s="203"/>
      <c r="F924" s="204"/>
      <c r="G924" s="204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201"/>
      <c r="B925" s="197"/>
      <c r="C925" s="201"/>
      <c r="D925" s="202"/>
      <c r="E925" s="203"/>
      <c r="F925" s="204"/>
      <c r="G925" s="204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201"/>
      <c r="B926" s="197"/>
      <c r="C926" s="201"/>
      <c r="D926" s="202"/>
      <c r="E926" s="203"/>
      <c r="F926" s="204"/>
      <c r="G926" s="204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201"/>
      <c r="B927" s="197"/>
      <c r="C927" s="201"/>
      <c r="D927" s="202"/>
      <c r="E927" s="203"/>
      <c r="F927" s="204"/>
      <c r="G927" s="204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201"/>
      <c r="B928" s="197"/>
      <c r="C928" s="201"/>
      <c r="D928" s="202"/>
      <c r="E928" s="203"/>
      <c r="F928" s="204"/>
      <c r="G928" s="204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201"/>
      <c r="B929" s="197"/>
      <c r="C929" s="201"/>
      <c r="D929" s="202"/>
      <c r="E929" s="203"/>
      <c r="F929" s="204"/>
      <c r="G929" s="204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201"/>
      <c r="B930" s="197"/>
      <c r="C930" s="201"/>
      <c r="D930" s="202"/>
      <c r="E930" s="203"/>
      <c r="F930" s="204"/>
      <c r="G930" s="204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201"/>
      <c r="B931" s="197"/>
      <c r="C931" s="201"/>
      <c r="D931" s="202"/>
      <c r="E931" s="203"/>
      <c r="F931" s="204"/>
      <c r="G931" s="204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</sheetData>
  <printOptions/>
  <pageMargins bottom="0.787401575" footer="0.0" header="0.0" left="0.511811024" right="0.511811024" top="0.787401575"/>
  <pageSetup paperSize="9" orientation="portrait"/>
  <drawing r:id="rId1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13">
    <pageSetUpPr/>
  </sheetPr>
  <sheetViews>
    <sheetView workbookViewId="0"/>
  </sheetViews>
  <sheetFormatPr customHeight="1" defaultColWidth="14.43" defaultRowHeight="15.0"/>
  <cols>
    <col customWidth="1" min="1" max="1" width="10.86"/>
    <col customWidth="1" min="2" max="2" width="11.57"/>
    <col customWidth="1" min="3" max="6" width="9.14"/>
    <col customWidth="1" min="7" max="26" width="8.71"/>
  </cols>
  <sheetData>
    <row r="1">
      <c r="A1" s="1" t="s">
        <v>479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 t="s">
        <v>480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216" t="s">
        <v>481</v>
      </c>
      <c r="B4" s="216" t="s">
        <v>187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0">
        <v>1990.0</v>
      </c>
      <c r="B5" s="217">
        <v>170.06</v>
      </c>
      <c r="C5" s="1" t="s">
        <v>482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0">
        <v>1991.0</v>
      </c>
      <c r="B6" s="217">
        <v>1068.8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0">
        <v>1992.0</v>
      </c>
      <c r="B7" s="217">
        <v>12387.5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0">
        <v>1993.0</v>
      </c>
      <c r="B8" s="217">
        <v>326.1</v>
      </c>
      <c r="C8" s="1" t="s">
        <v>483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10">
        <v>1994.0</v>
      </c>
      <c r="B9" s="217">
        <v>0.851</v>
      </c>
      <c r="C9" s="1" t="s">
        <v>484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10">
        <v>1995.0</v>
      </c>
      <c r="B10" s="217">
        <v>0.975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10">
        <v>1996.0</v>
      </c>
      <c r="B11" s="217">
        <v>1.0449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10">
        <v>1997.0</v>
      </c>
      <c r="B12" s="217">
        <v>1.1218</v>
      </c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10">
        <v>1998.0</v>
      </c>
      <c r="B13" s="217">
        <v>1.2102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10">
        <v>1999.0</v>
      </c>
      <c r="B14" s="217">
        <v>1.789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10">
        <v>2000.0</v>
      </c>
      <c r="B15" s="217">
        <v>1.9554</v>
      </c>
      <c r="C15" s="1" t="s">
        <v>485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>
      <c r="A16" s="10">
        <v>2001.0</v>
      </c>
      <c r="B16" s="217">
        <v>2.3204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10">
        <v>2002.0</v>
      </c>
      <c r="B17" s="217">
        <v>3.5333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10">
        <v>2003.0</v>
      </c>
      <c r="B18" s="217">
        <v>2.8892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10">
        <v>2004.0</v>
      </c>
      <c r="B19" s="217">
        <v>2.6544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10">
        <v>2005.0</v>
      </c>
      <c r="B20" s="217">
        <v>2.3407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10">
        <v>2006.0</v>
      </c>
      <c r="B21" s="217">
        <v>2.138</v>
      </c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10">
        <v>2007.0</v>
      </c>
      <c r="B22" s="217">
        <v>1.7713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10">
        <v>2008.0</v>
      </c>
      <c r="B23" s="217">
        <v>2.337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10">
        <v>2009.0</v>
      </c>
      <c r="B24" s="217">
        <v>1.7412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10">
        <v>2010.0</v>
      </c>
      <c r="B25" s="217">
        <v>1.6662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10">
        <v>2011.0</v>
      </c>
      <c r="B26" s="217">
        <v>1.8758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10">
        <v>2012.0</v>
      </c>
      <c r="B27" s="217">
        <v>2.0435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0">
        <v>2013.0</v>
      </c>
      <c r="B28" s="217">
        <v>2.3426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75" customHeight="1">
      <c r="A29" s="10">
        <v>2014.0</v>
      </c>
      <c r="B29" s="217">
        <v>2.6562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75" customHeight="1">
      <c r="A30" s="10">
        <v>2015.0</v>
      </c>
      <c r="B30" s="217">
        <v>3.9048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0">
        <v>2016.0</v>
      </c>
      <c r="B31" s="217">
        <v>3.2591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10">
        <v>2017.0</v>
      </c>
      <c r="B32" s="217">
        <v>3.308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15.75" customHeight="1">
      <c r="A33" s="10">
        <v>2018.0</v>
      </c>
      <c r="B33" s="217">
        <v>3.8748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5.75" customHeight="1">
      <c r="A34" s="10">
        <v>2019.0</v>
      </c>
      <c r="B34" s="217">
        <v>4.0307</v>
      </c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15.75" customHeight="1">
      <c r="A35" s="10">
        <v>2020.0</v>
      </c>
      <c r="B35" s="217">
        <v>5.1967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15.75" customHeight="1">
      <c r="A36" s="10">
        <v>2021.0</v>
      </c>
      <c r="B36" s="217">
        <v>5.5805</v>
      </c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5.75" customHeight="1">
      <c r="A37" s="10">
        <v>2022.0</v>
      </c>
      <c r="B37" s="217">
        <v>5.2177</v>
      </c>
      <c r="C37" s="218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5.75" customHeight="1">
      <c r="A38" s="10">
        <v>2023.0</v>
      </c>
      <c r="B38" s="217">
        <v>4.8413</v>
      </c>
      <c r="C38" s="218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5.75" customHeight="1">
      <c r="A39" s="10">
        <v>2024.0</v>
      </c>
      <c r="B39" s="217">
        <v>6.1923</v>
      </c>
      <c r="C39" s="218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15.75" customHeight="1">
      <c r="A40" s="10">
        <v>2025.0</v>
      </c>
      <c r="B40" s="217">
        <v>5.662</v>
      </c>
      <c r="C40" s="218" t="s">
        <v>486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5.75" customHeight="1">
      <c r="A41" s="219"/>
      <c r="B41" s="220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15.75" customHeight="1">
      <c r="A42" s="219"/>
      <c r="B42" s="220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15.75" customHeight="1">
      <c r="A43" s="219"/>
      <c r="B43" s="220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5.75" customHeight="1">
      <c r="A44" s="126"/>
      <c r="B44" s="220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5.75" customHeight="1">
      <c r="A45" s="219"/>
      <c r="B45" s="220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5.75" customHeight="1">
      <c r="A46" s="219"/>
      <c r="B46" s="220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15.75" customHeight="1">
      <c r="A47" s="219"/>
      <c r="B47" s="220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15.75" customHeight="1">
      <c r="A48" s="219"/>
      <c r="B48" s="220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15.75" customHeight="1">
      <c r="A49" s="219"/>
      <c r="B49" s="220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5.75" customHeight="1">
      <c r="A50" s="219"/>
      <c r="B50" s="220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5.75" customHeight="1">
      <c r="A51" s="219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5.75" customHeight="1">
      <c r="A52" s="219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5.75" customHeight="1">
      <c r="A53" s="126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26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26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26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26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22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22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22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hyperlinks>
    <hyperlink r:id="rId1" ref="C40"/>
  </hyperlinks>
  <printOptions/>
  <pageMargins bottom="0.787401575" footer="0.0" header="0.0" left="0.511811024" right="0.511811024" top="0.787401575"/>
  <pageSetup paperSize="9" orientation="portrait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4.43" defaultRowHeight="15.0"/>
  <sheetData>
    <row r="1">
      <c r="A1" s="222" t="s">
        <v>487</v>
      </c>
    </row>
    <row r="2">
      <c r="A2" s="222">
        <v>1.0</v>
      </c>
    </row>
    <row r="3">
      <c r="A3" s="222">
        <f t="shared" ref="A3:A19" si="1">A2+1</f>
        <v>2</v>
      </c>
    </row>
    <row r="4">
      <c r="A4" s="222">
        <f t="shared" si="1"/>
        <v>3</v>
      </c>
    </row>
    <row r="5">
      <c r="A5" s="222">
        <f t="shared" si="1"/>
        <v>4</v>
      </c>
    </row>
    <row r="6">
      <c r="A6" s="222">
        <f t="shared" si="1"/>
        <v>5</v>
      </c>
    </row>
    <row r="7">
      <c r="A7" s="222">
        <f t="shared" si="1"/>
        <v>6</v>
      </c>
    </row>
    <row r="8">
      <c r="A8" s="222">
        <f t="shared" si="1"/>
        <v>7</v>
      </c>
    </row>
    <row r="9">
      <c r="A9" s="222">
        <f t="shared" si="1"/>
        <v>8</v>
      </c>
    </row>
    <row r="10">
      <c r="A10" s="222">
        <f t="shared" si="1"/>
        <v>9</v>
      </c>
    </row>
    <row r="11">
      <c r="A11" s="222">
        <f t="shared" si="1"/>
        <v>10</v>
      </c>
    </row>
    <row r="12">
      <c r="A12" s="222">
        <f t="shared" si="1"/>
        <v>11</v>
      </c>
    </row>
    <row r="13">
      <c r="A13" s="222">
        <f t="shared" si="1"/>
        <v>12</v>
      </c>
    </row>
    <row r="14">
      <c r="A14" s="222">
        <f t="shared" si="1"/>
        <v>13</v>
      </c>
    </row>
    <row r="15">
      <c r="A15" s="222">
        <f t="shared" si="1"/>
        <v>14</v>
      </c>
    </row>
    <row r="16">
      <c r="A16" s="222">
        <f t="shared" si="1"/>
        <v>15</v>
      </c>
    </row>
    <row r="17">
      <c r="A17" s="222">
        <f t="shared" si="1"/>
        <v>16</v>
      </c>
    </row>
    <row r="18">
      <c r="A18" s="222">
        <f t="shared" si="1"/>
        <v>17</v>
      </c>
    </row>
    <row r="19">
      <c r="A19" s="222">
        <f t="shared" si="1"/>
        <v>18</v>
      </c>
    </row>
  </sheetData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2017-12-20T17:01:25Z</dcterms:created>
  <dc:creator>Vitor do Nascimento da Silva</dc:creator>
</cp:coreProperties>
</file>